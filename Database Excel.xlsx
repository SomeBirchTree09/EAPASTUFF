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G:\Customs matters\EAPA Database\"/>
    </mc:Choice>
  </mc:AlternateContent>
  <xr:revisionPtr revIDLastSave="80" documentId="13_ncr:1_{5CDC0A74-FBBA-456C-AE69-84A74B23DFF5}" xr6:coauthVersionLast="47" xr6:coauthVersionMax="47" xr10:uidLastSave="{E1336F48-E3BD-40FF-8E26-0A6C35D78C3B}"/>
  <bookViews>
    <workbookView xWindow="-120" yWindow="-120" windowWidth="29040" windowHeight="17520" firstSheet="1" activeTab="1" xr2:uid="{47F4C89D-9D92-42FB-9CD9-953A1048CD1B}"/>
  </bookViews>
  <sheets>
    <sheet name="Sheet2" sheetId="2" state="hidden" r:id="rId1"/>
    <sheet name="EAPA Database" sheetId="1" r:id="rId2"/>
  </sheets>
  <definedNames>
    <definedName name="_xlnm._FilterDatabase" localSheetId="1" hidden="1">'EAPA Database'!$A$1:$O$121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8" i="1" l="1"/>
  <c r="P116" i="1"/>
  <c r="P113" i="1"/>
  <c r="P111" i="1"/>
  <c r="P121" i="1"/>
  <c r="P120" i="1"/>
  <c r="P119" i="1"/>
  <c r="P117" i="1"/>
  <c r="P115" i="1"/>
  <c r="P114" i="1"/>
  <c r="P112"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<sst xmlns="http://schemas.openxmlformats.org/spreadsheetml/2006/main" count="799" uniqueCount="396">
  <si>
    <t>Types of Evasion Scheme</t>
  </si>
  <si>
    <t xml:space="preserve">Failure to pay </t>
  </si>
  <si>
    <t>Misclassification</t>
  </si>
  <si>
    <t>Transshipment</t>
  </si>
  <si>
    <t>Undervaluation</t>
  </si>
  <si>
    <t>Use of wrong AD/CVD rate</t>
  </si>
  <si>
    <t>Leading Case No.</t>
  </si>
  <si>
    <t>Consolidated Case No.</t>
  </si>
  <si>
    <t>Alleger</t>
  </si>
  <si>
    <t>Evading Importers</t>
  </si>
  <si>
    <t>Evading Importers2</t>
  </si>
  <si>
    <t>Evasion Scheme</t>
  </si>
  <si>
    <t>Country of Transshipment</t>
  </si>
  <si>
    <t>Good</t>
  </si>
  <si>
    <t>AD Order No.</t>
  </si>
  <si>
    <t xml:space="preserve">CVD Order No. </t>
  </si>
  <si>
    <t>Notice of Initiation and Interim Measures</t>
  </si>
  <si>
    <t>Covered Merchanidse Referral</t>
  </si>
  <si>
    <t>Final TRLED Determination</t>
  </si>
  <si>
    <t>ORR Administrative Review</t>
  </si>
  <si>
    <t xml:space="preserve">Attortney Review </t>
  </si>
  <si>
    <t>Column3</t>
  </si>
  <si>
    <t>Diamond Sawblades Manufacturers Coalition ("DSMC")</t>
  </si>
  <si>
    <t>Diamond Tools Technology ("DTT")</t>
  </si>
  <si>
    <t>Thailand</t>
  </si>
  <si>
    <t>Diamond Sawblades</t>
  </si>
  <si>
    <t>A-570-900</t>
  </si>
  <si>
    <t>NA</t>
  </si>
  <si>
    <t>American Furniture Manufacturers Committee 2 for Legal Trade (“AFMC”)</t>
  </si>
  <si>
    <t>Aspects Furniture International, Inc. (“Aspects”)</t>
  </si>
  <si>
    <t>Wooden Bedroom Furniture (“WBF”)</t>
  </si>
  <si>
    <t>A-570-890</t>
  </si>
  <si>
    <t>Aztec Manufacturing Partnership, Ltd. (“Aztec”)</t>
  </si>
  <si>
    <t>American Pacific Rubber, Inc. (“APAC”)</t>
  </si>
  <si>
    <t>Oil Country Tubular Goods (“OCTG”)</t>
  </si>
  <si>
    <t>A-552-817</t>
  </si>
  <si>
    <t>Power Tek Tool, Inc. (“Power Tek”);Lyke Industrial Tool, LLC (“Lyke”)</t>
  </si>
  <si>
    <t xml:space="preserve">Diamond Sawblades and Parts Thereof </t>
  </si>
  <si>
    <t>GEO Specialty Chemicals, Inc. ("GEO Specialty")</t>
  </si>
  <si>
    <t>Ceka Nutrition Inc ("Ceka Nutrition")</t>
  </si>
  <si>
    <t>Cambodia</t>
  </si>
  <si>
    <t>Glycine</t>
  </si>
  <si>
    <t>A-570-836</t>
  </si>
  <si>
    <t>The Aluminum Extrusions Fair Trade Committee (“AEFTC”)</t>
  </si>
  <si>
    <t>Sun Bright International Corporation (“Sun Bright”);Fair Importing Corporation (“Fair Importing”)</t>
  </si>
  <si>
    <t>Malaysia</t>
  </si>
  <si>
    <t>Aluminum Extrusions</t>
  </si>
  <si>
    <t>A-570-967</t>
  </si>
  <si>
    <t>C-570-968</t>
  </si>
  <si>
    <t>Endura Products, Inc. (“Endura”)</t>
  </si>
  <si>
    <t>Columbia Aluminum Products, LLC (“Columbia”)</t>
  </si>
  <si>
    <t>Dixon Ticonderoga Company (“Dixon”)</t>
  </si>
  <si>
    <t>Royal Brush Manufacturing, Inc. (“RBM”)</t>
  </si>
  <si>
    <t>Philippines</t>
  </si>
  <si>
    <t>Cased Pencils</t>
  </si>
  <si>
    <t>A-570- 827</t>
  </si>
  <si>
    <t>Diamond Sawblades Manufacturers’ Coalition (“DSMC”)</t>
  </si>
  <si>
    <t>Lyke Industrial Tool, LLC. (“Lyke”)</t>
  </si>
  <si>
    <t>Finished diamond sawblades</t>
  </si>
  <si>
    <t>Yes;misclassification &amp; transshipment</t>
  </si>
  <si>
    <t>Endura Products, Inc.’s (“Endura”)</t>
  </si>
  <si>
    <t>Worldwide Door Components, Inc. (“Worldwide”)</t>
  </si>
  <si>
    <t>Plywood Source, LLP (Plywood Source)</t>
  </si>
  <si>
    <t>Far East American, Inc. (Far East);Ciel Group, Inc. (Ciel);American Pacific Plywood, Inc. (APPI);InterGlobal Forest (InterGlobal);Liberty Woods International Inc. (Liberty Woods)</t>
  </si>
  <si>
    <t>Vietnam</t>
  </si>
  <si>
    <t>Hardwood plywood</t>
  </si>
  <si>
    <t>A-570-051</t>
  </si>
  <si>
    <t>C-570-052</t>
  </si>
  <si>
    <t xml:space="preserve">Yes, Suppl Determination 07/06/2022 </t>
  </si>
  <si>
    <t>Core Pipe Products, Inc. (“Core Pipe”)</t>
  </si>
  <si>
    <t>Prime Stainless
Products, LLC (“Prime Stainless”);H&amp;H Machine Co. (“H&amp;H Machine”)</t>
  </si>
  <si>
    <t>Stainless Steel Flanges</t>
  </si>
  <si>
    <t>A-570-064</t>
  </si>
  <si>
    <t>C-570- 065</t>
  </si>
  <si>
    <t>Salvi Chemical Industries Ltd. (“Salvi”)</t>
  </si>
  <si>
    <t>Newtrend USA Co., Ltd. (“Newtrend USA”)</t>
  </si>
  <si>
    <t>CP Kelco U.S., Inc. ("CP Kelco")</t>
  </si>
  <si>
    <t>Ascension Chemicals LLC ("Ascension");Dr. Bronner's Magic Soaps ("DBMS");Tdale Manufacturing &amp; Distributing, Inc. ("Tdale");UMD Solutions, LLC ("UMD");Western Energy &amp; Technologies LLC ("Western Energy");Crude Chem Technology ("CCT");Glob Energy Corporation ("Glob Energy")</t>
  </si>
  <si>
    <t>India</t>
  </si>
  <si>
    <t>Xanthan Gum</t>
  </si>
  <si>
    <t>A-570-985</t>
  </si>
  <si>
    <t>Cementing Products Inc. ("Cementing");Global Envirotech Industries LLC ("Global Envirotech");Kerui Group US, LLC ("Kerui Group");Kerui Petroleum Equipment ("Kerui Petroleum")</t>
  </si>
  <si>
    <t>The Fresh Garlic Producers Association (“FPGA”)</t>
  </si>
  <si>
    <t>IPC International, Inc. (“IPC”)</t>
  </si>
  <si>
    <t>Fresh Garlic</t>
  </si>
  <si>
    <t>A-570-831</t>
  </si>
  <si>
    <t>Allied Group (“Allied”)</t>
  </si>
  <si>
    <t>Ductilic, Inc. (“Ductilic”);Iron Mule Products (”Iron Mule”);Missouri Pipe Fittings (“Missouri Pipe”);Norca Industrial Company, LLC (“Norca”);Trupply, LLC (“Trupply”);Service Metal Products (“Service Metal”)</t>
  </si>
  <si>
    <t>Carbon steel butt-weld pipe fittings (“CSBW pipe fittings”)</t>
  </si>
  <si>
    <t>A-570-814</t>
  </si>
  <si>
    <t>Apec International LLC (Apec)</t>
  </si>
  <si>
    <t>Concannon Corporation (Concannon)</t>
  </si>
  <si>
    <t>Certain Hardwood Plywood Products (Plywood)</t>
  </si>
  <si>
    <t>GEO Specialty Chemicals, Inc. (“GEO”)</t>
  </si>
  <si>
    <t>Brio USA LLC (“Brio”)</t>
  </si>
  <si>
    <t>C-570-081</t>
  </si>
  <si>
    <t>Coalition for Fair Trade of Hardwood Plywood (the Coalition)</t>
  </si>
  <si>
    <t>InterGlobal Forest, LLC (InterGlobal);American Pacific Plywood, Inc. (American Pacific);U.S. Global Forest Inc. (U.S. Global)</t>
  </si>
  <si>
    <t>Allied Group (Allied)</t>
  </si>
  <si>
    <t>Norca Industrial Company, LLC (Norca);International Piping &amp; Procurement Group, LP (IPP)</t>
  </si>
  <si>
    <t>Certain Carbon Steel Butt-Weld Pipe Fittings (butt-weld pipe fittings or covered merchandise)</t>
  </si>
  <si>
    <t>Ta Chen International Inc. (Ta Chen)</t>
  </si>
  <si>
    <t>Global Aluminum Distributor, LLC (Global Aluminum);Florida Aluminum Extrusion, LLC (Florida Aluminum);Hialeah Aluminum Supply, Inc. (Hialeah Aluminum)</t>
  </si>
  <si>
    <t>Dominican Republic</t>
  </si>
  <si>
    <t>Leggett &amp; Platt, Incorporated (Leggett)</t>
  </si>
  <si>
    <t>Rayson Global</t>
  </si>
  <si>
    <t>Uncovered Innerspring Units (innersprings)</t>
  </si>
  <si>
    <t>A-570-928</t>
  </si>
  <si>
    <t>Diamond Sawblades Manufacturers’ Coalition</t>
  </si>
  <si>
    <t>Gogo International, Inc. (Gogo)</t>
  </si>
  <si>
    <t>Canada</t>
  </si>
  <si>
    <t>Diamond Sawblades and Parts Thereof</t>
  </si>
  <si>
    <t>Fedmet Resource Corporation</t>
  </si>
  <si>
    <t>Certain Magnesia Carbon Bricks</t>
  </si>
  <si>
    <t>A-570-954</t>
  </si>
  <si>
    <t>C-570-955</t>
  </si>
  <si>
    <t>Cambria Company LLC</t>
  </si>
  <si>
    <t>AAA Innovation LLC (AAA);Astera Kitchen and Bath, Inc. (Astera);FTR LLC (FTR);GHS Group (GHS), LLC;Gin Investments Corp. (Gin);Gold Stone Kitchen Depot Inc. (Gold Stone);Granite Collection Inc. (Granite Collection);Ilkem Marble &amp; Granite Inc. (Ilkem);Next Generation Marble and Granite LLC (Next Generation);North Creation Granite Co. (North Creation);RQ Sales Co. LLC (RQ Sales Colorado);RQ Sales LLC (RQ Sales Nevada);The Top Shop, Inc. (Top Shop);Total Scope Cabinets and Tops LLC (Total Scope);and YNJ Management LLC (YNJ)</t>
  </si>
  <si>
    <t>Certain Quartz Surface Products</t>
  </si>
  <si>
    <t xml:space="preserve">A-570-084 </t>
  </si>
  <si>
    <t>C-570-085</t>
  </si>
  <si>
    <t>Paper Receipts Converting Association</t>
  </si>
  <si>
    <t>Amlink Sourcing Inc.</t>
  </si>
  <si>
    <t>Lightweight Thermal Ppaper (LWTP)</t>
  </si>
  <si>
    <t xml:space="preserve">A-570-920 </t>
  </si>
  <si>
    <t xml:space="preserve">C-570-921 </t>
  </si>
  <si>
    <t>Aluminum Extrusions Fair Trade Committee (AEFTC)</t>
  </si>
  <si>
    <t xml:space="preserve">Kingtom Aluminio SRL </t>
  </si>
  <si>
    <t>Dominica Republic</t>
  </si>
  <si>
    <t xml:space="preserve"> A-570-967 </t>
  </si>
  <si>
    <t>MasterBrand Cabinets, Inc.</t>
  </si>
  <si>
    <t>Pacific Building Material Inc. (“PBM”);Deco Kitchen Cabinet &amp; Bath, Inc. (“Deco”);Skyview Cabinet USA, Inc (“Skyview”);and Greentree Trading Company (“Greentree”)</t>
  </si>
  <si>
    <t>Wooden Cabinets and Vanities and Components Thereof (“WCV”)</t>
  </si>
  <si>
    <t xml:space="preserve">A-570-106 </t>
  </si>
  <si>
    <t>C-570-107</t>
  </si>
  <si>
    <t>CP Kelco U.S.A. Inc.</t>
  </si>
  <si>
    <t>A&amp;A Pharmachem Inc. USA</t>
  </si>
  <si>
    <t>CNC Associates (CNC Cabinetry) and/or Direct Builders Supply Inc.</t>
  </si>
  <si>
    <t>Vivaldi Commercial LLC and Vivaldi Interiors LLC (collectively “Vivaldi”)</t>
  </si>
  <si>
    <t>Quartz Surface Products</t>
  </si>
  <si>
    <t>American Kitchen Cabinets Alliance</t>
  </si>
  <si>
    <t>BGI Group Inc. dba U.S. Cabinet Depot (“BGI”)</t>
  </si>
  <si>
    <t>Simpli Home, Ltd.</t>
  </si>
  <si>
    <t>Quartz SurfaceProducts (Quartz)</t>
  </si>
  <si>
    <t>C-570-0851</t>
  </si>
  <si>
    <t>Splendid Trading Co. (Splendid Trading);Superior Granite and Marble By Vivaldi LLC (Superior)</t>
  </si>
  <si>
    <t>A-570-106</t>
  </si>
  <si>
    <t xml:space="preserve">MasterBrand Cabinets, Inc. </t>
  </si>
  <si>
    <t>ZL Center, LLC (“ZL Center”);USGS, Inc. (“USGS”);JGS Import, Inc (“JGS”);and US Sunergy Corp. (“US Sunergy”)</t>
  </si>
  <si>
    <t xml:space="preserve">CNC Associates N.Y., Inc. dba CNC Cabinetry (CNC and/or the Impmier) </t>
  </si>
  <si>
    <t>Indonesia</t>
  </si>
  <si>
    <t xml:space="preserve">Cast Iron Soil Pipe Institute </t>
  </si>
  <si>
    <t>Phoenix Metal</t>
  </si>
  <si>
    <t>Cast Iron Soil Pipe</t>
  </si>
  <si>
    <t>A-570-079</t>
  </si>
  <si>
    <t>C-570-080</t>
  </si>
  <si>
    <t>Cast Iron Soil Pipe Institute</t>
  </si>
  <si>
    <t>Little Fireflies International Co.;Granite Plumbing Products LLC</t>
  </si>
  <si>
    <t>Cast Iron Soil Pipe (CISP)</t>
  </si>
  <si>
    <t>Little Fireflies International Co.</t>
  </si>
  <si>
    <t>Cast Iron Soil Pipe Fittings (CISPF)</t>
  </si>
  <si>
    <t xml:space="preserve"> A-570-062</t>
  </si>
  <si>
    <t>C-570-063</t>
  </si>
  <si>
    <t>GEO Specialty Chemicals, Inc.</t>
  </si>
  <si>
    <t>Nutrawave Co., Ltd. (“Nutrawave”);Starille, Ltd. (“Starille”);and Newtrend USA Co., Ltd. (“NUSA”) (collectively “the Importers”)</t>
  </si>
  <si>
    <t>Cambria</t>
  </si>
  <si>
    <t>Cumberland, Durian, Flowery Stone, Kat, Kingway, Nio, Nomadic, Opaly</t>
  </si>
  <si>
    <t>A-570-084</t>
  </si>
  <si>
    <t>A-549-837</t>
  </si>
  <si>
    <t>Uni-Tile, Durian, Kingway, Lonlas, Maika'I, Top Kitchen</t>
  </si>
  <si>
    <t>Wooden Cabinets and Vanities</t>
  </si>
  <si>
    <t>Auburn Manufacturing, Inc. (AMI)</t>
  </si>
  <si>
    <t xml:space="preserve">Acmetex Inc.; New Fire Co. Ltd. </t>
  </si>
  <si>
    <t>A-570-038</t>
  </si>
  <si>
    <t>C-570-039</t>
  </si>
  <si>
    <t>Flatlands Holdings, LLC</t>
  </si>
  <si>
    <t>CIS Investments, LLC</t>
  </si>
  <si>
    <t>Sri Lanka, Thailand, Indonesia</t>
  </si>
  <si>
    <t>Forged Steel Fittings</t>
  </si>
  <si>
    <t>A-570-067</t>
  </si>
  <si>
    <t>C-570-068</t>
  </si>
  <si>
    <t>Kitchen Cabinet Manufacturers Association</t>
  </si>
  <si>
    <t>Scioto Valley Woodworking, Inc. (Valleywood)</t>
  </si>
  <si>
    <t>CIMC Intermodal Equipment LLC</t>
  </si>
  <si>
    <t>Pitts Enterprises, Inc.</t>
  </si>
  <si>
    <t>Chassis and Subassemblies</t>
  </si>
  <si>
    <t>A-570-135</t>
  </si>
  <si>
    <t>C-570-136</t>
  </si>
  <si>
    <t>CVB Inc.</t>
  </si>
  <si>
    <t>Zinus Inc</t>
  </si>
  <si>
    <t xml:space="preserve">Wooden Bedroom Furniture </t>
  </si>
  <si>
    <t>Vanguard Trading Company</t>
  </si>
  <si>
    <t>WHP Associates</t>
  </si>
  <si>
    <t>Lightweight Thermal Paper</t>
  </si>
  <si>
    <t>A-570-920, A-428-840, A-580-911</t>
  </si>
  <si>
    <t>C-570-921</t>
  </si>
  <si>
    <t xml:space="preserve">Hog Slat, Inc. </t>
  </si>
  <si>
    <t xml:space="preserve">Double L Group, LLC and Manufacturing Network Inc. </t>
  </si>
  <si>
    <t>Steel Grating</t>
  </si>
  <si>
    <t>A-570-947</t>
  </si>
  <si>
    <t>C-570-948</t>
  </si>
  <si>
    <t xml:space="preserve">Aluminum Extrusions Fair Trade Committee (AEFTC) </t>
  </si>
  <si>
    <t>Fortress Fence Products and Fortress Building Proudcts</t>
  </si>
  <si>
    <t>Gorilla Paper</t>
  </si>
  <si>
    <t>Turkey</t>
  </si>
  <si>
    <t>Thermal Paper</t>
  </si>
  <si>
    <t>A-428-850, A-580-911</t>
  </si>
  <si>
    <t>LE North America JV, LLC</t>
  </si>
  <si>
    <t>E-Merchant Supplies, A2 Labels &amp; Rolls, POS Supply Solutions, Royal Paper Products, Golden Eagle Distributors LLC, Paper Roll Supplies LLC, VBS Cal LLC, Allied Paper Company, The Advantage Group</t>
  </si>
  <si>
    <t>Mexico</t>
  </si>
  <si>
    <t xml:space="preserve">YVC USA </t>
  </si>
  <si>
    <t xml:space="preserve">Sri Lanka </t>
  </si>
  <si>
    <t>Superior Commercial Solutions LLC</t>
  </si>
  <si>
    <t xml:space="preserve">Muller Import Inc. and U.S. Castings Inc. </t>
  </si>
  <si>
    <t>A-570-062, A-570-079, A-570-063</t>
  </si>
  <si>
    <t>CP Kelco</t>
  </si>
  <si>
    <t xml:space="preserve">Colony Gums Inc. </t>
  </si>
  <si>
    <t xml:space="preserve">Lollicup USA Inc. </t>
  </si>
  <si>
    <t xml:space="preserve">Taiwan </t>
  </si>
  <si>
    <t>Thermal paper</t>
  </si>
  <si>
    <t>A-570-920</t>
  </si>
  <si>
    <t>N/A</t>
  </si>
  <si>
    <t>Minth Mexico Coatings</t>
  </si>
  <si>
    <t>Cambria Company, LLC</t>
  </si>
  <si>
    <t>Vanity Art, LLC and Legion Furniture, Inc.</t>
  </si>
  <si>
    <t xml:space="preserve">Vietnam </t>
  </si>
  <si>
    <t>Coalition of American Chassis Manufacturers</t>
  </si>
  <si>
    <t>CIMC Intermodal Equipment LLC (CIE)</t>
  </si>
  <si>
    <t xml:space="preserve">Suzhou Quality Import and Export Co. </t>
  </si>
  <si>
    <t>CP Kelco U.S., Inc.</t>
  </si>
  <si>
    <t>Ebuy Enterprises Limited and Highland USA International, Inc.</t>
  </si>
  <si>
    <t xml:space="preserve">Malaysia </t>
  </si>
  <si>
    <t>CP Kelco U.S. Inc.</t>
  </si>
  <si>
    <t>Texas United Chemical Company, LLC.</t>
  </si>
  <si>
    <t xml:space="preserve">Turkey </t>
  </si>
  <si>
    <t>Xanthan gum</t>
  </si>
  <si>
    <t>Midwest Livestock Systems, LLC</t>
  </si>
  <si>
    <t xml:space="preserve">Steel Grating </t>
  </si>
  <si>
    <t>Corus Fastening</t>
  </si>
  <si>
    <t>VY Industries Inc.</t>
  </si>
  <si>
    <t>India, Canada</t>
  </si>
  <si>
    <t>Wire coated coil nails</t>
  </si>
  <si>
    <t>A-570-909</t>
  </si>
  <si>
    <t>ADI ChemTech LLC</t>
  </si>
  <si>
    <t xml:space="preserve">India </t>
  </si>
  <si>
    <t xml:space="preserve">Lighthouse Rock Consulting LLC </t>
  </si>
  <si>
    <t>Cambria Company  LLC</t>
  </si>
  <si>
    <t>M. US A. Inc. d/b/a Kings Marble and Granite (Kings), Musa Stone Import, Inc. (Musa Stone), and KMGK, LLC dba KMG Marble and Granite (KMGK)</t>
  </si>
  <si>
    <t>Quartz surface products (QSP)</t>
  </si>
  <si>
    <t>SAF-HOLLAND, Inc.</t>
  </si>
  <si>
    <t xml:space="preserve">AXN Heavy Duty LLC </t>
  </si>
  <si>
    <t xml:space="preserve">N/A </t>
  </si>
  <si>
    <t>Certain chassis and subassemblies thereof</t>
  </si>
  <si>
    <t xml:space="preserve"> BMF Imports, LLC</t>
  </si>
  <si>
    <t>Guy &amp; O’Neill, Inc.</t>
  </si>
  <si>
    <t xml:space="preserve">Israel </t>
  </si>
  <si>
    <t>A-570-986</t>
  </si>
  <si>
    <t>Geo Specialty Chemicals, Inc.</t>
  </si>
  <si>
    <t xml:space="preserve">Shari Pharmachem (USA) LLC </t>
  </si>
  <si>
    <t>Mak Chemicals, Inc.</t>
  </si>
  <si>
    <t xml:space="preserve">Indonesia </t>
  </si>
  <si>
    <t>Just About Foods LLC</t>
  </si>
  <si>
    <t xml:space="preserve">Mexico </t>
  </si>
  <si>
    <t>Zinus USA Inc.</t>
  </si>
  <si>
    <t>Beanomy Inc. (Beanomy), IYEE Nature Inc. (IYEE Nature), Kelanch Inc. (Kelanch), Wakodo Household Supply Inc. (Wakodo), Xinshidian Trading Inc. (Xinshidian), Zevoky Inc. (Zevoky);Kakaivy, Inc. (Kakaivy), Weekaly Inc. (Weekaly);Heniddy Inc. (Heniddy), Ryan James Engineering LLC (Ryan James), Sunwind Trading Inc. (Sunwind), and Anlowo Inc. (Anlowo)</t>
  </si>
  <si>
    <t xml:space="preserve">Korea </t>
  </si>
  <si>
    <t>Mattresses</t>
  </si>
  <si>
    <t>A-570-092, A-552-827</t>
  </si>
  <si>
    <t>C-570-128</t>
  </si>
  <si>
    <t>Broadcreek Marketing Associates, Inc. (BMA),
Dorado Surfaces LLC (Dorado), Kingka Cabinet Inc. (Kingka) and Multistone Enterprises, Inc.
(Multistone)</t>
  </si>
  <si>
    <t xml:space="preserve">Thailand </t>
  </si>
  <si>
    <t>A-570-085</t>
  </si>
  <si>
    <t>C-570-086</t>
  </si>
  <si>
    <t>US Atlanta International Inc. (US Atlanta), Global Source &amp; Supply, Inc. (Global Source), Cosmos Granite (East) Mai·ble (Cosmos East) 1 , and Cosmos Granite (West), LLC. (Cosmos West)</t>
  </si>
  <si>
    <t xml:space="preserve">JBS Trading LLC </t>
  </si>
  <si>
    <t>U.S. OCTG Manufacturers Association</t>
  </si>
  <si>
    <t>Amek Aluminum &amp; Stainless, Inc. (Amek);Centric Pipe LLC (Centric);Copley International Group Co Ltd (Copley);Energy Pipe &amp; Equipment Rentals LLC (Energy Pipe);Kana Energy Services Inc. (Kana);LE Commodities, LLC (LE Commodities);Lixin Energy Group (HK) Co., Limited (Lixin Energy);Longfellow Energy, LP (Longfellow);Trek Metals Inc. (Trek Metals);and TSPGA LLC (TSPGA)</t>
  </si>
  <si>
    <t>Oil country tubular goods (OCTG)</t>
  </si>
  <si>
    <t>A-570-944</t>
  </si>
  <si>
    <t>C-570-943</t>
  </si>
  <si>
    <t>Deer Park Glycine, LLC</t>
  </si>
  <si>
    <t xml:space="preserve">Highland USA International, Inc. </t>
  </si>
  <si>
    <t xml:space="preserve"> Global Natural Ingredients, LLC </t>
  </si>
  <si>
    <t>Coalition of American Manufacturers of Mobile Access Equipment</t>
  </si>
  <si>
    <t>Sinoboom North America, LLC</t>
  </si>
  <si>
    <t xml:space="preserve">Poland </t>
  </si>
  <si>
    <t>Mobile access equipment and subassemblies thereof (MAE)</t>
  </si>
  <si>
    <t>A-570-139</t>
  </si>
  <si>
    <t>C-570-140</t>
  </si>
  <si>
    <t>Ajinomoto Health &amp; Nutrition North America, Inc.</t>
  </si>
  <si>
    <t>Handylee Enterprises (USA) Corp. (Handylee);Jefi Enterprise (USA) Inc. (Jefi);and Highland USA International Inc. (Highland USA)</t>
  </si>
  <si>
    <t>Monosodium glutamate (MSG)</t>
  </si>
  <si>
    <t>A-570-992, A-560-826</t>
  </si>
  <si>
    <t>Trinity Metals, LLC</t>
  </si>
  <si>
    <t>Thompson Aluminum Casting Company, Inc.</t>
  </si>
  <si>
    <t>Magnesium metal</t>
  </si>
  <si>
    <t>A-570-896</t>
  </si>
  <si>
    <t>Allied Food Products Inc.</t>
  </si>
  <si>
    <t xml:space="preserve">Paper Receipts Converting Association (PRCA) </t>
  </si>
  <si>
    <t xml:space="preserve">Lollicup USA Inc. (Lollicup), Lifeguard Gloves (also known as DuroSafe Inc.) (collectively, Lifeguard), FAV Holdings LLC (FAV Holdings), Direct Marketing USA (Direct Marketing), E Merchant Supplies (E Merchant), Quality Paper Distributors, Inc. (Quality Paper), and Top Traders, Inc. </t>
  </si>
  <si>
    <t>Lightweight thermal paper</t>
  </si>
  <si>
    <t>A-570-920, A-428-850, A-588-880, and A-580-911</t>
  </si>
  <si>
    <t>Paper Receipts Converting Association (PRCA)</t>
  </si>
  <si>
    <t>Strong Medical, Vesta Global Trading</t>
  </si>
  <si>
    <t>Berwick Offray LLC</t>
  </si>
  <si>
    <t>TriMar Ribbons Inc. (TriMar) and Ribest Ribbons &amp; Bows USA, Inc.; (Ribest).</t>
  </si>
  <si>
    <t>Woven ribbons</t>
  </si>
  <si>
    <t>A-570-952</t>
  </si>
  <si>
    <t>C-570-953</t>
  </si>
  <si>
    <t>List Industries, Inc.</t>
  </si>
  <si>
    <t>Wholesale Equipment Co., DBA WEC Manufacturing</t>
  </si>
  <si>
    <t>Certain metal lockers and parts thereof</t>
  </si>
  <si>
    <t>A-570-133</t>
  </si>
  <si>
    <t>C-570-134</t>
  </si>
  <si>
    <t>The Coalition of American Manufacturers of Mobile Access Equipment</t>
  </si>
  <si>
    <t>XCMG North America Corporation</t>
  </si>
  <si>
    <t>American Furniture Manufacturers Committee for Legal Trade (“AFMC”)</t>
  </si>
  <si>
    <t xml:space="preserve">USASourcing Inc. and Tradewide Inc. </t>
  </si>
  <si>
    <t>Wooden bedroom furniture</t>
  </si>
  <si>
    <t>Newport Pacific Cabinets, Inc.</t>
  </si>
  <si>
    <t>Island Home Building Materials, Inc.</t>
  </si>
  <si>
    <t>Wooden cabinets and vanities</t>
  </si>
  <si>
    <t>Kratos Building Products</t>
  </si>
  <si>
    <t>Ramos Commodity Corporation</t>
  </si>
  <si>
    <t>South Korea</t>
  </si>
  <si>
    <t>Steel nails</t>
  </si>
  <si>
    <t xml:space="preserve">A-570-909 </t>
  </si>
  <si>
    <t>Commercial Steel Products LLC
JOL Tubular, Inc.</t>
  </si>
  <si>
    <t>Oil country tubular goods</t>
  </si>
  <si>
    <t>A-570-943</t>
  </si>
  <si>
    <t>C-570-944</t>
  </si>
  <si>
    <t>First Biotech;Jianlong Biotechnology Corporation, and Deosen USA</t>
  </si>
  <si>
    <t>Agri-Fab, Inc.</t>
  </si>
  <si>
    <t>Amin World Inc. (Amin World), Jiangshan Zhiyuan Import &amp; Export (Jiangshan Zhiyuan), LXQ Trading Inc. (LXQ Trading), Nanjing Fengjiao Import &amp; Export (Nanjing Fengjiao), New Wayn Inc. (New Wayn), Shaoxing Youcheng Import and Export (Shaoxing Youcheng), Shenzhen Wushida Industry Co., Ltd. (Shenzhen Wushida), SSG Group Imports Co. (SSG Group), and Super Blooming Star Inc. (Super Blooming Star)</t>
  </si>
  <si>
    <t>Tow-behind lawn groomers</t>
  </si>
  <si>
    <t>A-570-939</t>
  </si>
  <si>
    <t>American Alliance for Solar Manufacturing Trade Committee</t>
  </si>
  <si>
    <t xml:space="preserve">Waaree and Waaree Americas </t>
  </si>
  <si>
    <t>Crystalline silicon photovoltaic cells</t>
  </si>
  <si>
    <t>A-570-979, A-555-003, A-557-830, A-549-851, A-552-841</t>
  </si>
  <si>
    <t>C-570-980, C-555-004, C-557-831, C-549-852, C-552-842</t>
  </si>
  <si>
    <t>Vallourec Star, L.P.;BENTELER Steel/Tube Manufacturing Corp.;and Tenaris Bay City, Inc.</t>
  </si>
  <si>
    <t>Amek Aluminum &amp; Stainless, Inc. (Amek);American Piping Products, Inc. (APP);GY Fleet Inc. (GY Fleet);USA Lee Long Inc. (USA Lee Long);Leadtop Inc. (Leadtop) and GME Trade Ease Inc. (GME Trade Ease)</t>
  </si>
  <si>
    <t xml:space="preserve">Seamless carbon and alloy steel standard, line and pressure pipe and </t>
  </si>
  <si>
    <t>A-570-956</t>
  </si>
  <si>
    <t>C-570-957</t>
  </si>
  <si>
    <t>Coalition of Freight Coupler Producers</t>
  </si>
  <si>
    <t>Greenbrier Companies, Inc.</t>
  </si>
  <si>
    <t>Certain freight rail couplers and parts thereof</t>
  </si>
  <si>
    <t>A-201-857, A-570-145</t>
  </si>
  <si>
    <t>C-570-146</t>
  </si>
  <si>
    <t>Committee Overseeing Action for
Lumber International Trade
Investigations or Negotiations</t>
  </si>
  <si>
    <t>Coastal Forest Products</t>
  </si>
  <si>
    <t xml:space="preserve">New Zealand </t>
  </si>
  <si>
    <t>Softwood lumber</t>
  </si>
  <si>
    <t>A-122-857</t>
  </si>
  <si>
    <t>C-122-858</t>
  </si>
  <si>
    <t>Chasoe World Inc. (Chasoe), Eminent World Trade Inc. (Eminent World), Faster Bat Corp. (Faster Bat), Fine Tune Group Inc. (Fine Tune), Inchoi Group Inc. (Inchoi), Magic King Group Inc. (Magic King), Newway Wind Inc. (Newway), Onerich Glboal Group Inc. (Onerich), Toyarr Group Inc. (Toyarr), Unitype Trading, Ltd. (Unitype) and Zenith Global Group Inc. (Zenith)</t>
  </si>
  <si>
    <t>Lawn groomers and certain parts thereof</t>
  </si>
  <si>
    <t>Deer Park Glycine LLC</t>
  </si>
  <si>
    <t xml:space="preserve">Wysdom USA Co., Ltd. </t>
  </si>
  <si>
    <t xml:space="preserve">Department of Commerce </t>
  </si>
  <si>
    <t>Daffodil Pharmachem Private Limited</t>
  </si>
  <si>
    <t>Citric acid and certain citrate salts</t>
  </si>
  <si>
    <t>A-570-937</t>
  </si>
  <si>
    <t>C-570-938</t>
  </si>
  <si>
    <t>Wheatland Tube Company</t>
  </si>
  <si>
    <t>NEXTracker</t>
  </si>
  <si>
    <t>Circular Welded Carbon Quality Steel Pipe</t>
  </si>
  <si>
    <t>Yes (Not Initiated)</t>
  </si>
  <si>
    <t>M&amp;B Metal Products Company, Inc. (“M&amp;B Metal”)</t>
  </si>
  <si>
    <t>Eastern Trading NY Inc. (“Eastern Trading”)</t>
  </si>
  <si>
    <t>Steel Wire Garment Hangers</t>
  </si>
  <si>
    <t>A-570-918</t>
  </si>
  <si>
    <t>M&amp;B Metal Products Company (“M&amp;B Metal”)</t>
  </si>
  <si>
    <t>Brooklyn Knights Trading Inc. (“Brooklyn Knights”);Garment Cover Supply LLC (“Garment Cover”);Casa USA Inc. (“Casa USA”);Nice Guy Trading Inc. (“Nice Guy”);GL Paper Distribution LLC (“GL Paper”);Newtown Supply NY Inc. (“Newtown Supply”);Subcos Percha De Metal Factory (“Subcos Percha”);Masterpiece Supply Ltd. (“Masterpiece Supply”)</t>
  </si>
  <si>
    <t>Wire Garment Hangers</t>
  </si>
  <si>
    <t>7743 (Broken Link on Website)</t>
  </si>
  <si>
    <t xml:space="preserve">LTT International Trading Co. </t>
  </si>
  <si>
    <t>LDL Trading Company</t>
  </si>
  <si>
    <t>Exquis Inc.; Lollicup USA Inc.; and Sanster Corporation</t>
  </si>
  <si>
    <t>Taiwan</t>
  </si>
  <si>
    <t xml:space="preserve"> 7819;7820</t>
  </si>
  <si>
    <t>Besttn Industry Inc.</t>
  </si>
  <si>
    <t>Cast Iron Soil Pipe and Cast-Iron Soil Pipe Fittings</t>
  </si>
  <si>
    <t>A-570-062,  A-570-079</t>
  </si>
  <si>
    <t>C-570-063, C570-080</t>
  </si>
  <si>
    <t>7916;7917;7921;7922;7923;7924;7925;7926;7927;7928;7929;7931;7934;7935;7938;7943;7949;7971;7972;7973;7974;7975;7976;7977;7978;7979;7980;7981;7997;7998;8000;8001;8005;8006;8007;8008;8009;8011;8012;8015;8016;8017;8020;8021;8022;8023;8024;8025;8026;8027;8028;8029;8031;8032;8033;8034;8035;8036;8037; 8038;8046;8047;8049;8050</t>
  </si>
  <si>
    <t>CVB Inc. and Zinus USA Inc.</t>
  </si>
  <si>
    <t>Alexand Inc.; Alloech Inc.; Anlowo Inc.; Bentensh Inc.; Calimoon Inc.; Day Day Up Inc.; Deluxe Home of USA Inc.; Gemmeo Inc.; Haiide Inc.; Hondex Inc.; Incoroy Inc.; Inland Empire Decor Home Furnishing Inc.; Lincody Inc.; Lirachy Inc.; Newland Technology Inc.; Outlier Inc.; Splendid Life Distribute Inc.; Startown Inc.; Sunshine International Inc.; Vovyace Inc.; Weekaly Inc.; Wuleitex Inc.; and Zozonid Inc.</t>
  </si>
  <si>
    <t>Korea, Taiwan,  Vietnam, Indonesia</t>
  </si>
  <si>
    <t>A-570-092, A-552-827, A-560-836</t>
  </si>
  <si>
    <t xml:space="preserve">8226;8227;8228;8229;8230;8231;8232;8233;8234;8235;8236;8237;8238 </t>
  </si>
  <si>
    <t>Chirag International (Chirag); Everest Industrial Corporation (Everest Industrial); Honey Jain, KAG EXIM Inc. (KAG EXIM); Kapson India (Kapson); LH Dottie Company (LH Dottie); OCM Inc. (OCM); Stelfast Inc. (Stelfast); Nuovo International LLC (Nuovo International); Mankuj Jindal, Gap Trading Corp. (Gap Trading); Lindstrom LLC (Lindstrom); Nuts &amp; Bolts Inc. (Nuts &amp; Bolts); and Bee Dee Cycle Industries (Bee Dee Cycle)</t>
  </si>
  <si>
    <t>Carbon and alloy steel threaded rod</t>
  </si>
  <si>
    <t>A-533-887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</si>
</sst>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ptos Narrow"/>
      <family val="2"/>
      <scheme val="minor"/>
    </font>
    <font>
      <sz val="11"/>
      <name val="Aptos Narrow"/>
      <family val="2"/>
      <scheme val="minor"/>
    </font>
    <font>
      <sz val="11"/>
      <color rgb="FF000000"/>
      <name val="Aptos Narrow"/>
      <charset val="1"/>
    </font>
  </fonts>
  <fills count="5">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63">
    <xf numFmtId="0" fontId="0" fillId="0" borderId="0" xfId="0"/>
    <xf numFmtId="0" fontId="1" fillId="0" borderId="0" xfId="0" applyFont="1"/>
    <xf numFmtId="0" fontId="0" fillId="0" borderId="1" xfId="0" applyBorder="1" applyAlignment="1">
      <alignment vertical="center" wrapText="1"/>
    </xf>
    <xf numFmtId="0" fontId="0" fillId="0" borderId="1" xfId="0" applyBorder="1" applyAlignment="1">
      <alignment horizontal="left" vertical="center" wrapText="1"/>
    </xf>
    <xf numFmtId="14" fontId="2" fillId="0" borderId="1" xfId="1" applyNumberFormat="1" applyBorder="1" applyAlignment="1">
      <alignment vertical="center" wrapText="1"/>
    </xf>
    <xf numFmtId="14" fontId="0" fillId="0" borderId="1" xfId="1" applyNumberFormat="1" applyFont="1" applyBorder="1" applyAlignment="1">
      <alignment vertical="center" wrapText="1"/>
    </xf>
    <xf numFmtId="14" fontId="2" fillId="0" borderId="1" xfId="1" applyNumberFormat="1" applyFill="1" applyBorder="1" applyAlignment="1">
      <alignment vertical="center"/>
    </xf>
    <xf numFmtId="0" fontId="0" fillId="0" borderId="1" xfId="0" applyBorder="1" applyAlignment="1">
      <alignment vertical="center"/>
    </xf>
    <xf numFmtId="14" fontId="3" fillId="0" borderId="1" xfId="1" applyNumberFormat="1" applyFont="1" applyBorder="1" applyAlignment="1">
      <alignment vertical="center" wrapText="1"/>
    </xf>
    <xf numFmtId="14" fontId="2" fillId="0" borderId="1" xfId="1" applyNumberFormat="1" applyFill="1" applyBorder="1" applyAlignment="1">
      <alignment vertical="center" wrapText="1"/>
    </xf>
    <xf numFmtId="14" fontId="0" fillId="0" borderId="1" xfId="0" applyNumberFormat="1" applyBorder="1" applyAlignment="1">
      <alignment vertical="center" wrapText="1"/>
    </xf>
    <xf numFmtId="0" fontId="0" fillId="0" borderId="1" xfId="0" applyBorder="1" applyAlignment="1">
      <alignment horizontal="left" vertical="top"/>
    </xf>
    <xf numFmtId="0" fontId="0" fillId="0" borderId="1" xfId="0" applyBorder="1" applyAlignment="1">
      <alignment vertical="top" wrapText="1"/>
    </xf>
    <xf numFmtId="0" fontId="0" fillId="0" borderId="1" xfId="0" applyBorder="1" applyAlignment="1">
      <alignment vertical="top"/>
    </xf>
    <xf numFmtId="14" fontId="2" fillId="0" borderId="1" xfId="1" applyNumberFormat="1" applyBorder="1" applyAlignment="1">
      <alignment vertical="top" wrapText="1"/>
    </xf>
    <xf numFmtId="14" fontId="0" fillId="0" borderId="1" xfId="1" applyNumberFormat="1" applyFont="1" applyBorder="1" applyAlignment="1">
      <alignment vertical="top" wrapText="1"/>
    </xf>
    <xf numFmtId="14" fontId="0" fillId="0" borderId="1" xfId="1" applyNumberFormat="1" applyFont="1" applyBorder="1" applyAlignment="1">
      <alignment horizontal="right"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0" xfId="0" applyAlignment="1">
      <alignment vertical="top"/>
    </xf>
    <xf numFmtId="0" fontId="0" fillId="4" borderId="1" xfId="0" applyFill="1" applyBorder="1" applyAlignment="1">
      <alignment vertical="top" wrapText="1"/>
    </xf>
    <xf numFmtId="0" fontId="0" fillId="4" borderId="1" xfId="0" applyFill="1" applyBorder="1" applyAlignment="1">
      <alignment vertical="top"/>
    </xf>
    <xf numFmtId="14" fontId="2" fillId="0" borderId="1" xfId="1" applyNumberFormat="1" applyBorder="1" applyAlignment="1">
      <alignment horizontal="right" vertical="top" wrapText="1"/>
    </xf>
    <xf numFmtId="0" fontId="0" fillId="0" borderId="2" xfId="0" applyBorder="1" applyAlignment="1">
      <alignment vertical="top" wrapText="1"/>
    </xf>
    <xf numFmtId="0" fontId="0" fillId="0" borderId="2" xfId="0" applyBorder="1" applyAlignment="1">
      <alignment vertical="top"/>
    </xf>
    <xf numFmtId="14" fontId="2" fillId="0" borderId="2" xfId="1" applyNumberFormat="1" applyBorder="1" applyAlignment="1">
      <alignment vertical="top" wrapText="1"/>
    </xf>
    <xf numFmtId="14" fontId="2" fillId="0" borderId="1" xfId="1" applyNumberFormat="1" applyFill="1" applyBorder="1" applyAlignment="1">
      <alignment vertical="top" wrapText="1"/>
    </xf>
    <xf numFmtId="14" fontId="4" fillId="0" borderId="1" xfId="1" applyNumberFormat="1" applyFont="1" applyFill="1" applyBorder="1" applyAlignment="1">
      <alignment vertical="top" wrapText="1"/>
    </xf>
    <xf numFmtId="0" fontId="0" fillId="0" borderId="1" xfId="0" applyBorder="1" applyAlignment="1">
      <alignment wrapText="1"/>
    </xf>
    <xf numFmtId="0" fontId="0" fillId="0" borderId="1" xfId="0" applyBorder="1"/>
    <xf numFmtId="14" fontId="2" fillId="0" borderId="1" xfId="1" applyNumberFormat="1" applyFill="1" applyBorder="1" applyAlignment="1">
      <alignment horizontal="right" vertical="top" wrapText="1"/>
    </xf>
    <xf numFmtId="14" fontId="4" fillId="0" borderId="1" xfId="1" applyNumberFormat="1" applyFont="1" applyBorder="1" applyAlignment="1">
      <alignment vertical="top" wrapText="1"/>
    </xf>
    <xf numFmtId="14" fontId="3" fillId="0" borderId="2" xfId="1" applyNumberFormat="1" applyFont="1" applyBorder="1" applyAlignment="1">
      <alignment vertical="top" wrapText="1"/>
    </xf>
    <xf numFmtId="14" fontId="0" fillId="0" borderId="2" xfId="0" applyNumberFormat="1" applyBorder="1" applyAlignment="1">
      <alignment vertical="top" wrapText="1"/>
    </xf>
    <xf numFmtId="14" fontId="3" fillId="0" borderId="1" xfId="1" applyNumberFormat="1" applyFont="1" applyBorder="1" applyAlignment="1">
      <alignment vertical="top" wrapText="1"/>
    </xf>
    <xf numFmtId="14" fontId="0" fillId="0" borderId="1" xfId="0" applyNumberFormat="1" applyBorder="1" applyAlignment="1">
      <alignment vertical="top" wrapText="1"/>
    </xf>
    <xf numFmtId="14" fontId="3" fillId="0" borderId="1" xfId="1" applyNumberFormat="1" applyFont="1" applyBorder="1" applyAlignment="1">
      <alignment horizontal="right" vertical="top" wrapText="1"/>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14" fontId="0" fillId="0" borderId="2" xfId="1" applyNumberFormat="1" applyFont="1" applyBorder="1" applyAlignment="1">
      <alignment vertical="top" wrapText="1"/>
    </xf>
    <xf numFmtId="14" fontId="2" fillId="0" borderId="1" xfId="1" applyNumberFormat="1" applyFill="1" applyBorder="1" applyAlignment="1">
      <alignment vertical="top"/>
    </xf>
    <xf numFmtId="14" fontId="2" fillId="0" borderId="0" xfId="1" applyNumberFormat="1" applyBorder="1" applyAlignment="1">
      <alignment vertical="top" wrapText="1"/>
    </xf>
    <xf numFmtId="14" fontId="3" fillId="0" borderId="0" xfId="1" applyNumberFormat="1" applyFont="1" applyBorder="1" applyAlignment="1">
      <alignment horizontal="right" vertical="top" wrapText="1"/>
    </xf>
    <xf numFmtId="0" fontId="0" fillId="0" borderId="1"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left" vertical="top"/>
    </xf>
    <xf numFmtId="0" fontId="0" fillId="0" borderId="4" xfId="0" applyBorder="1" applyAlignment="1">
      <alignment horizontal="left" vertical="top"/>
    </xf>
    <xf numFmtId="0" fontId="0" fillId="4" borderId="3" xfId="0" applyFill="1" applyBorder="1" applyAlignment="1">
      <alignment horizontal="left" vertical="top"/>
    </xf>
    <xf numFmtId="0" fontId="0" fillId="0" borderId="3" xfId="0" applyBorder="1" applyAlignment="1">
      <alignment horizontal="left" vertical="top" wrapText="1"/>
    </xf>
    <xf numFmtId="0" fontId="0" fillId="4" borderId="3" xfId="0" applyFill="1" applyBorder="1" applyAlignment="1">
      <alignment horizontal="left" vertical="top" wrapText="1"/>
    </xf>
    <xf numFmtId="0" fontId="0" fillId="0" borderId="5" xfId="0" applyBorder="1" applyAlignment="1">
      <alignment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horizontal="left" vertical="center" wrapText="1"/>
    </xf>
    <xf numFmtId="0" fontId="0" fillId="0" borderId="8" xfId="0" applyBorder="1" applyAlignment="1">
      <alignment vertical="center" wrapText="1"/>
    </xf>
    <xf numFmtId="14" fontId="3" fillId="0" borderId="8" xfId="1" applyNumberFormat="1" applyFont="1" applyBorder="1" applyAlignment="1">
      <alignment vertical="center" wrapText="1"/>
    </xf>
    <xf numFmtId="14" fontId="0" fillId="0" borderId="8" xfId="0" applyNumberFormat="1" applyBorder="1" applyAlignment="1">
      <alignment vertical="center" wrapText="1"/>
    </xf>
    <xf numFmtId="0" fontId="0" fillId="0" borderId="9" xfId="0" applyBorder="1" applyAlignment="1">
      <alignment vertical="center" wrapText="1"/>
    </xf>
    <xf numFmtId="0" fontId="5" fillId="0" borderId="0" xfId="0" applyFont="1" applyAlignment="1">
      <alignment horizontal="left"/>
    </xf>
    <xf numFmtId="0" fontId="0" fillId="0" borderId="0" xfId="0" applyBorder="1" applyAlignment="1">
      <alignment horizontal="left" vertical="top"/>
    </xf>
  </cellXfs>
  <cellStyles count="2">
    <cellStyle name="Hyperlink" xfId="1" builtinId="8"/>
    <cellStyle name="Normal" xfId="0" builtinId="0"/>
  </cellStyles>
  <dxfs count="19">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numFmt numFmtId="19" formatCode="m/d/yyyy"/>
      <fill>
        <patternFill patternType="solid">
          <fgColor indexed="64"/>
          <bgColor theme="3" tint="0.89999084444715716"/>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2EA946-3DDD-4354-A607-DE5992A71C97}" name="Table1" displayName="Table1" ref="A1:P285" totalsRowShown="0" headerRowDxfId="18" headerRowBorderDxfId="16" tableBorderDxfId="17">
  <autoFilter ref="A1:P285" xr:uid="{D32EA946-3DDD-4354-A607-DE5992A71C97}"/>
  <tableColumns count="16">
    <tableColumn id="1" xr3:uid="{AAF2A8B6-D0C3-4CEB-A254-4F4F08EA4CB9}" name="Leading Case No." dataDxfId="15"/>
    <tableColumn id="16" xr3:uid="{96F72BBC-6B16-4FDB-9245-CECD454C7377}" name="Consolidated Case No." dataDxfId="14"/>
    <tableColumn id="2" xr3:uid="{03854BC9-5EEF-4E4E-A900-C2726C065F23}" name="Alleger" dataDxfId="13"/>
    <tableColumn id="3" xr3:uid="{84747F4A-14A0-4DD1-A940-93D67A2AE4DF}" name="Evading Importers" dataDxfId="12"/>
    <tableColumn id="4" xr3:uid="{1CF75CE6-8F18-4496-A9A8-5580615C67AA}" name="Evading Importers2" dataDxfId="11"/>
    <tableColumn id="5" xr3:uid="{BFE745FE-E9BF-4C5D-B4D1-13577F2CE01F}" name="Evasion Scheme" dataDxfId="10"/>
    <tableColumn id="6" xr3:uid="{626E6687-925F-4BA0-BFA0-FDDDC8DBB901}" name="Country of Transshipment" dataDxfId="9"/>
    <tableColumn id="7" xr3:uid="{01E8994B-892F-43EA-92AD-5362CFDA9A26}" name="Good" dataDxfId="8"/>
    <tableColumn id="8" xr3:uid="{5F15A872-B2EE-467C-B343-B3A9974D3BA8}" name="AD Order No." dataDxfId="7"/>
    <tableColumn id="9" xr3:uid="{7908B523-1316-4FF9-8EFD-A781818CF80D}" name="CVD Order No. " dataDxfId="6"/>
    <tableColumn id="10" xr3:uid="{2A9E79D7-E671-4A5C-9609-FB686B9704C2}" name="Notice of Initiation and Interim Measures" dataDxfId="5" dataCellStyle="Hyperlink"/>
    <tableColumn id="11" xr3:uid="{77480E10-76C6-4F6E-AA77-48BCB186AA29}" name="Covered Merchanidse Referral" dataDxfId="4" dataCellStyle="Hyperlink"/>
    <tableColumn id="12" xr3:uid="{85489B8E-8C6C-4144-B25D-287EC30E1382}" name="Final TRLED Determination" dataDxfId="3" dataCellStyle="Hyperlink"/>
    <tableColumn id="13" xr3:uid="{AB1F09EB-A612-4411-88B9-588061CC38D1}" name="ORR Administrative Review" dataDxfId="2"/>
    <tableColumn id="14" xr3:uid="{E9D26424-B84B-442C-8FC6-BDB1DDD70A7D}" name="Attortney Review " dataDxfId="1"/>
    <tableColumn id="15" xr3:uid="{CBD5ADC4-647C-4098-968F-D27430A1BC8F}" name="Column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Notices%20of%20Determination\7830%20ADI%20ChemTech%20LLC%20(Notice%20of%20Determination%20as%20to%20Evasion,%20July%209,%202024).pdf" TargetMode="External"/><Relationship Id="rId21" Type="http://schemas.openxmlformats.org/officeDocument/2006/relationships/hyperlink" Target="file://sa-dc2022/Cases/Customs%20matters/EAPA%20Database/Notices%20of%20Initiation%20%26%20Interim%20Measures/7292%20The%20Fresh%20Garlic%20Producers%20Association%20(&#8220;FPGA&#8221;)%20(Notice%20of%20Investigation%20and%20Interim%20Measures,%20Apr.%2018,%202019).pdf" TargetMode="External"/><Relationship Id="rId42" Type="http://schemas.openxmlformats.org/officeDocument/2006/relationships/hyperlink" Target="file://sa-dc2022/Cases/Customs%20matters/EAPA%20Database/Administrative%20Reviews/7281%20CP%20Kelco%20U.S.,%20Inc.%20(CP%20Kelco)%20(Final%20Administrative%20Determination,%20July%2016,%202020).pdf" TargetMode="External"/><Relationship Id="rId63" Type="http://schemas.openxmlformats.org/officeDocument/2006/relationships/hyperlink" Target="file://sa-dc2022/Cases/Customs%20matters/EAPA%20Database/Notices%20of%20Determination/7321%20Coalition%20for%20Fair%20Trade%20of%20Hardwood%20Plywood%20(the%20Coalition)%20(Notice%20of%20Determination%20as%20to%20Evasion,%20June%2029,%202020).pdf" TargetMode="External"/><Relationship Id="rId84" Type="http://schemas.openxmlformats.org/officeDocument/2006/relationships/hyperlink" Target="Notices%20of%20Initiation%20&amp;%20Interim%20Measures\7899%20Highland%20USA%20International,%20Inc.%20(Notice%20of%20Initiation%20of%20Investigation%20and%20Interim%20Measures,%20August%2028,%202024).pdf" TargetMode="External"/><Relationship Id="rId138" Type="http://schemas.openxmlformats.org/officeDocument/2006/relationships/hyperlink" Target="Notices%20of%20Initiation%20&amp;%20Interim%20Measures\7675%20Acmetex%20Inc.,%20New%20Fire%20Co.%20Ltd.%20(Notice%20of%20Initiation%20of%20Investigation%20and%20Interim%20Measures,%20March%2028,%202022).pdf" TargetMode="External"/><Relationship Id="rId159" Type="http://schemas.openxmlformats.org/officeDocument/2006/relationships/hyperlink" Target="Notices%20of%20Initiation%20&amp;%20Interim%20Measures\7810%20CIMC%20Intermodal%20Equipment%20LLC%20(Notice%20of%20Initiation%20of%20Investigation%20and%20Interim%20Measures,%20July%2031,%202023).pdf" TargetMode="External"/><Relationship Id="rId170" Type="http://schemas.openxmlformats.org/officeDocument/2006/relationships/hyperlink" Target="Notices%20of%20Determination\7718%20Zinus%20Inc%20(Notice%20of%20Determination%20as%20to%20Evasion,%20July%2021,%202023).pdf" TargetMode="External"/><Relationship Id="rId191" Type="http://schemas.openxmlformats.org/officeDocument/2006/relationships/hyperlink" Target="Administrative%20Reviews\7718%20Zinus,%20Inc.%20(Final%20Administrative%20Determination,%20November%2029,%202023).pdf" TargetMode="External"/><Relationship Id="rId205" Type="http://schemas.openxmlformats.org/officeDocument/2006/relationships/hyperlink" Target="Notices%20of%20Initiation%20&amp;%20Interim%20Measures\7624%20Little%20Fireflies%20Int'l%20Co.%20(Notice%20of%20Inv.%20and%20Interim%20Measures,%20Dec.%209,%202021).pdf" TargetMode="External"/><Relationship Id="rId226" Type="http://schemas.openxmlformats.org/officeDocument/2006/relationships/hyperlink" Target="Covered%20Merchandise%20Referrals\7354%20Covered%20Merchanidse%20Referral%2011-26-2019.pdf" TargetMode="External"/><Relationship Id="rId247" Type="http://schemas.openxmlformats.org/officeDocument/2006/relationships/hyperlink" Target="Administrative%20Reviews\7550%20Kingtom%20Aluminio%20SRL%20(Final%20Administrative%20Determination,%20June%2029,%202022).pdf" TargetMode="External"/><Relationship Id="rId107" Type="http://schemas.openxmlformats.org/officeDocument/2006/relationships/hyperlink" Target="Administrative%20Reviews\7907%20Sinoboom%20North%20America,%20LLC%20(Final%20Administrative%20Determination,%20November%206,%202025).pdf" TargetMode="External"/><Relationship Id="rId11" Type="http://schemas.openxmlformats.org/officeDocument/2006/relationships/hyperlink" Target="file://sa-dc2022/Cases/Customs%20matters/EAPA%20Database/Notices%20of%20Initiation%20%26%20Interim%20Measures/7208%20Geo%20Specialty%20Chemicas,%20Inc.%20(Notice%20of%20Investigation%20and%20Interim%20Measures,%20Aug.%2028,%202017).pdf" TargetMode="External"/><Relationship Id="rId32" Type="http://schemas.openxmlformats.org/officeDocument/2006/relationships/hyperlink" Target="file://sa-dc2022/Cases/Customs%20matters/EAPA%20Database/Administrative%20Reviews/7335%20Allied%20Group%20(Allied)%20(Final%20Administrative%20Determination,%20Mar.%2022,%202021).pdf" TargetMode="External"/><Relationship Id="rId53" Type="http://schemas.openxmlformats.org/officeDocument/2006/relationships/hyperlink" Target="file://sa-dc2022/Cases/Customs%20matters/EAPA%20Database/Notices%20of%20Determination/7251%20Endura%20Products,%20Inc.&#8217;s%20(&#8220;Endura&#8221;)%20(Notice%20of%20Determination%20as%20to%20Evasion,%20Sept.%2018.%202019).pdf" TargetMode="External"/><Relationship Id="rId74" Type="http://schemas.openxmlformats.org/officeDocument/2006/relationships/hyperlink" Target="Notices%20of%20Initiation%20&amp;%20Interim%20Measures\8144%20First%20Biotech%20and%20Deosen%20USA%20(Notice%20of%20Initiation%20of%20Investigation%20and%20Interim%20Measures,%20July%2031,%202025).pdf" TargetMode="External"/><Relationship Id="rId128" Type="http://schemas.openxmlformats.org/officeDocument/2006/relationships/hyperlink" Target="Notices%20of%20Determination\7969%20Thompson%20Aluminum%20Casting%20Company,%20Inc.%20(Notice%20of%20Determination%20as%20to%20Evasion,%20May%2009,%202025).pdf" TargetMode="External"/><Relationship Id="rId149" Type="http://schemas.openxmlformats.org/officeDocument/2006/relationships/hyperlink" Target="Notices%20of%20Initiation%20&amp;%20Interim%20Measures\7745%20Various%20Importers%20(Notice%20of%20Initiation%20of%20Investigation%20and%20Interim%20Measures,%20Jan.%2024,%202023).pdf" TargetMode="External"/><Relationship Id="rId5" Type="http://schemas.openxmlformats.org/officeDocument/2006/relationships/hyperlink" Target="file://sa-dc2022/Cases/Customs%20matters/EAPA%20Database/Covered%20Merchandise%20Referrals/7184%20Covered%20Merchandise%20Referral%2011-21-2017.pdf" TargetMode="External"/><Relationship Id="rId95" Type="http://schemas.openxmlformats.org/officeDocument/2006/relationships/hyperlink" Target="Notices%20of%20Initiation%20&amp;%20Interim%20Measures\7853%20Just%20About%20Foods%20LLC%20(Notice%20of%20Initiation%20of%20Investigation%20and%20Interim%20Measures,%20April%2029,%202024).pdf" TargetMode="External"/><Relationship Id="rId160" Type="http://schemas.openxmlformats.org/officeDocument/2006/relationships/hyperlink" Target="Notices%20of%20Initiation%20&amp;%20Interim%20Measures\7818%20Midwest%20Livestock%20Systems%20LLC%20(Notice%20of%20Initiation%20of%20Investigation%20and%20Interim%20Measures,%20Sep.%2012,%202023).pdf" TargetMode="External"/><Relationship Id="rId181" Type="http://schemas.openxmlformats.org/officeDocument/2006/relationships/hyperlink" Target="Notices%20of%20Determination\7801%20Minth%20Mexico%20Coatings%20(Notice%20of%20Determination%20as%20to%20Evasion,%20Feb.%2027,%202024).pdf" TargetMode="External"/><Relationship Id="rId216" Type="http://schemas.openxmlformats.org/officeDocument/2006/relationships/hyperlink" Target="Notices%20of%20Determination\7618%20CNC%20Associates%20N.Y.,%20Inc.%20dba%20CNC%20Cabinetry%20(Notice%20of%20Determination%20as%20to%20Evasion,%20June%207,%202022).pdf" TargetMode="External"/><Relationship Id="rId237" Type="http://schemas.openxmlformats.org/officeDocument/2006/relationships/hyperlink" Target="Notices%20of%20Determination\7523%20Amlink%20Sourcing%20Inc.%20(Notice%20of%20Determination%20as%20to%20Evasion,%20Aug.%2023,%202021).pdf" TargetMode="External"/><Relationship Id="rId258" Type="http://schemas.openxmlformats.org/officeDocument/2006/relationships/printerSettings" Target="../printerSettings/printerSettings1.bin"/><Relationship Id="rId22" Type="http://schemas.openxmlformats.org/officeDocument/2006/relationships/hyperlink" Target="file://sa-dc2022/Cases/Customs%20matters/EAPA%20Database/Notices%20of%20Initiation%20%26%20Interim%20Measures/7281%20CP%20Kelco%20U.S.,%20Inc.%20(Notice%20of%20Investigation%20and%20Interim%20Measures,%20May%207,%202019).pdf" TargetMode="External"/><Relationship Id="rId43" Type="http://schemas.openxmlformats.org/officeDocument/2006/relationships/hyperlink" Target="file://sa-dc2022/Cases/Customs%20matters/EAPA%20Database/Administrative%20Reviews/7311%20Apec%20International%20LLC%20(Apec)%20(Final%20Administrative%20Determination,%20September%2017,%202020).pdf" TargetMode="External"/><Relationship Id="rId64" Type="http://schemas.openxmlformats.org/officeDocument/2006/relationships/hyperlink" Target="file://sa-dc2022/Cases/Customs%20matters/EAPA%20Database/Covered%20Merchandise%20Referrals/7252%20Covered%20Merchandise%20Referral,%20Sept.%2023,%202019.pdf" TargetMode="External"/><Relationship Id="rId118" Type="http://schemas.openxmlformats.org/officeDocument/2006/relationships/hyperlink" Target="Notices%20of%20Determination\8093%20Various%20Importers%20(Notice%20of%20Determination%20as%20to%20Evasion,%20August%2025,%202025).pdf" TargetMode="External"/><Relationship Id="rId139" Type="http://schemas.openxmlformats.org/officeDocument/2006/relationships/hyperlink" Target="Notices%20of%20Initiation%20&amp;%20Interim%20Measures\7718%20Zinus%20Inc.%20(Notice%20of%20Inv.%20and%20Interim%20Measures,%20Oct.%2024,%202022).pdf" TargetMode="External"/><Relationship Id="rId85" Type="http://schemas.openxmlformats.org/officeDocument/2006/relationships/hyperlink" Target="Notices%20of%20Initiation%20&amp;%20Interim%20Measures\7889%20JBS%20Trading%20LLC%20(Notice%20of%20Initiation%20of%20Investigation%20and%20Interim%20Measures,%20August%2028,%202024).pdf" TargetMode="External"/><Relationship Id="rId150" Type="http://schemas.openxmlformats.org/officeDocument/2006/relationships/hyperlink" Target="Notices%20of%20Initiation%20&amp;%20Interim%20Measures\7734%20Fortress%20Fence%20Products%20(Notice%20of%20Initiation%20of%20Investigation%20and%20Interim%20Measures,%20Jan.%2024,%202023).pdf" TargetMode="External"/><Relationship Id="rId171" Type="http://schemas.openxmlformats.org/officeDocument/2006/relationships/hyperlink" Target="Notices%20of%20Determination\7711%20Pitts%20Enterprises,%20Inc.%20(Notice%20of%20Determination%20as%20to%20Evasion,%20May%2023,%202023).pdf" TargetMode="External"/><Relationship Id="rId192" Type="http://schemas.openxmlformats.org/officeDocument/2006/relationships/hyperlink" Target="Administrative%20Reviews\7711%20Pitts%20Enterprises,%20Inc.%20(Final%20Administrative%20Determination,%20September%2028,%202023).pdf" TargetMode="External"/><Relationship Id="rId206" Type="http://schemas.openxmlformats.org/officeDocument/2006/relationships/hyperlink" Target="Notices%20of%20Determination\7624%20Little%20Fireflies%20Int'l%20Co.%20(Notice%20of%20Determination%20as%20to%20Evasion,%20July%208,%202022).pdf" TargetMode="External"/><Relationship Id="rId227" Type="http://schemas.openxmlformats.org/officeDocument/2006/relationships/hyperlink" Target="Notices%20of%20Determination\7354%20Gogo%20International,%20Inc.%20(Gogo)%20(Notice%20of%20Determination%20as%20to%20Evasion,%20Dec.%2015,%202021).pdf" TargetMode="External"/><Relationship Id="rId248" Type="http://schemas.openxmlformats.org/officeDocument/2006/relationships/hyperlink" Target="Administrative%20Reviews\7583%20CNC%20Associates%20N.Y.,%20Inc.%20(Final%20Administrative%20Determination,%20May%2031,%202022).pdf" TargetMode="External"/><Relationship Id="rId12" Type="http://schemas.openxmlformats.org/officeDocument/2006/relationships/hyperlink" Target="file://sa-dc2022/Cases/Customs%20matters/EAPA%20Database/Notices%20of%20Initiation%20%26%20Interim%20Measures/7227%20Aluminum%20Extrusions%20Fair%20Trade%20Committee%20(Notice%20of%20Investigation%20and%20Interim%20Measures,%20Feb.%205,%202018).pdf" TargetMode="External"/><Relationship Id="rId33" Type="http://schemas.openxmlformats.org/officeDocument/2006/relationships/hyperlink" Target="file://sa-dc2022/Cases/Customs%20matters/EAPA%20Database/Notices%20of%20Determination/7352%20Leggett%20%26%20Platt,%20Incorporated%20(Leggett)%20(Notice%20of%20Determination%20as%20to%20Evasion,%20Jul.%2023,%202020).pdf" TargetMode="External"/><Relationship Id="rId108" Type="http://schemas.openxmlformats.org/officeDocument/2006/relationships/hyperlink" Target="Administrative%20Reviews\7969%20Thompson%20Aluminum%20Casting%20Company,%20Inc.%20(Final%20Administrative%20Determination,%20September%2018,%202025).pdf" TargetMode="External"/><Relationship Id="rId129" Type="http://schemas.openxmlformats.org/officeDocument/2006/relationships/hyperlink" Target="Notices%20of%20Determination\7950%20Various%20Importers%20(Notice%20of%20Determination%20as%20to%20Evasion,%20September%2015,%202025).pdf" TargetMode="External"/><Relationship Id="rId54" Type="http://schemas.openxmlformats.org/officeDocument/2006/relationships/hyperlink" Target="file://sa-dc2022/Cases/Customs%20matters/EAPA%20Database/Notices%20of%20Determination/7252%20Plywood%20Source,%20LLP%20(Plywood%20Source)%20(Notice%20of%20Determination%20as%20to%20Evasion,%20Jan.%2028,%202022).pdf" TargetMode="External"/><Relationship Id="rId75" Type="http://schemas.openxmlformats.org/officeDocument/2006/relationships/hyperlink" Target="Notices%20of%20Initiation%20&amp;%20Interim%20Measures\8183%20Greenbrier%20Companies,%20Inc%20(Notice%20of%20Initiation%20of%20Investigation%20and%20Interim%20Measures,%20August%2020,%202025).pdf" TargetMode="External"/><Relationship Id="rId96" Type="http://schemas.openxmlformats.org/officeDocument/2006/relationships/hyperlink" Target="Notices%20of%20Initiation%20&amp;%20Interim%20Measures\7841%20BMF%20Imports,%20LLC%20(Notice%20of%20Initiation%20of%20Investigation%20and%20Interim%20Measures,%20April%202,%202024).pdf" TargetMode="External"/><Relationship Id="rId140" Type="http://schemas.openxmlformats.org/officeDocument/2006/relationships/hyperlink" Target="Notices%20of%20Initiation%20&amp;%20Interim%20Measures\7705%20Scioto%20Valley%20Woodworking,%20Inc.%20(Valleywood)%20(Notice%20of%20Initiation%20of%20Investigation%20and%20Interim%20Measures,%20July%206,%202022).pdf" TargetMode="External"/><Relationship Id="rId161" Type="http://schemas.openxmlformats.org/officeDocument/2006/relationships/hyperlink" Target="Notices%20of%20Initiation%20&amp;%20Interim%20Measures\7813%20Ebuy%20Enterprises%20Limited%20and%20Highland%20USA%20International,%20Inc.%20(Notice%20of%20Initiation%20of%20Invest.%20and%20Interim%20Measures%20&amp;%20Interim%20Meaures,%20Sep.%2027,%202023).pdf" TargetMode="External"/><Relationship Id="rId182" Type="http://schemas.openxmlformats.org/officeDocument/2006/relationships/hyperlink" Target="Notices%20of%20Determination\7810%20CIMC%20Intermodal%20Equipment%20LLC%20(Notice%20of%20Determination%20as%20to%20Evasion,%20Apr.%2025,%202024).pdf" TargetMode="External"/><Relationship Id="rId217" Type="http://schemas.openxmlformats.org/officeDocument/2006/relationships/hyperlink" Target="Notices%20of%20Initiation%20&amp;%20Interim%20Measures\7607%20Splendid%20Trading%20and%20Superior%20(Notice%20of%20Initiation%20of%20Invest.%20and%20Interim%20Measures%20&amp;%20Interim%20Meaures,%20July%2027,%202021).pdf" TargetMode="External"/><Relationship Id="rId6" Type="http://schemas.openxmlformats.org/officeDocument/2006/relationships/hyperlink" Target="file://sa-dc2022/Cases/Customs%20matters/EAPA%20Database/Notices%20of%20Determination/15135%20Eastern%20Trading%20NY%20Inc.%20(&#8220;Eastern%20Trading&#8221;)%20(Notice%20of%20Determination,%20August%2014,%202017).pdf" TargetMode="External"/><Relationship Id="rId238" Type="http://schemas.openxmlformats.org/officeDocument/2006/relationships/hyperlink" Target="Notices%20of%20Initiation%20&amp;%20Interim%20Measures\7522%20AAA%20Innovation%20LLC,%20et%20al.%20(Notice%20of%20Initiation%20and%20Interim%20Measures,%20March%201,%202021).pdf" TargetMode="External"/><Relationship Id="rId259" Type="http://schemas.openxmlformats.org/officeDocument/2006/relationships/table" Target="../tables/table1.xml"/><Relationship Id="rId23" Type="http://schemas.openxmlformats.org/officeDocument/2006/relationships/hyperlink" Target="file://sa-dc2022/Cases/Customs%20matters/EAPA%20Database/Notices%20of%20Initiation%20%26%20Interim%20Measures/7282%20CP%20Kelco%20U.S.,%20Inc.%20(Notice%20of%20Investigation%20and%20Interim%20Measures,%20Feb.%207,%202019).pdf" TargetMode="External"/><Relationship Id="rId119" Type="http://schemas.openxmlformats.org/officeDocument/2006/relationships/hyperlink" Target="Notices%20of%20Determination\8052%20Various%20Importers%20(Notice%20of%20Determination%20as%20to%20Evasion,%20August%2025,%202025).pdf" TargetMode="External"/><Relationship Id="rId44" Type="http://schemas.openxmlformats.org/officeDocument/2006/relationships/hyperlink" Target="file://sa-dc2022/Cases/Customs%20matters/EAPA%20Database/Administrative%20Reviews/7321%20Coalition%20for%20Fair%20Trade%20of%20Hardwood%20Plywood%20(the%20Coalition)%20(Final%20Administrative%20Determination,%20November%205,%202020).pdf" TargetMode="External"/><Relationship Id="rId65" Type="http://schemas.openxmlformats.org/officeDocument/2006/relationships/hyperlink" Target="file://sa-dc2022/Cases/Customs%20matters/EAPA%20Database/Covered%20Merchandise%20Referrals/7250%20Covered%20Merchandise%20Referral,%20July%205,%202019.pdf" TargetMode="External"/><Relationship Id="rId86" Type="http://schemas.openxmlformats.org/officeDocument/2006/relationships/hyperlink" Target="Notices%20of%20Initiation%20&amp;%20Interim%20Measures\7907%20Sinoboom%20North%20America,%20LLC%20(Notice%20of%20Initiation%20of%20Investigation%20and%20Interim%20Measures,%20October%2001,%202024).pdf" TargetMode="External"/><Relationship Id="rId130" Type="http://schemas.openxmlformats.org/officeDocument/2006/relationships/hyperlink" Target="Notices%20of%20Determination\7888%20Various%20Importers%20(Notice%20of%20Determination%20as%20to%20Evasion,%20March%2013,%202025).pdf" TargetMode="External"/><Relationship Id="rId151" Type="http://schemas.openxmlformats.org/officeDocument/2006/relationships/hyperlink" Target="Notices%20of%20Initiation%20&amp;%20Interim%20Measures\7785%20LDL%20Trading%20Company%20(Notice%20of%20Initiation%20of%20Investigation%20and%20Interim%20Measures,%20Feb.%201,%202023).pdf" TargetMode="External"/><Relationship Id="rId172" Type="http://schemas.openxmlformats.org/officeDocument/2006/relationships/hyperlink" Target="Notices%20of%20Determination\7730%20Double%20L%20Group,%20LLC%20and%20Manufacturing%20Network%20Inc.%20(Notice%20of%20Determination%20as%20to%20Evasion,%20July%2021,%202023).pdf" TargetMode="External"/><Relationship Id="rId193" Type="http://schemas.openxmlformats.org/officeDocument/2006/relationships/hyperlink" Target="Administrative%20Reviews\7722%20Vanguard%20Trading%20Company,%20LLC%20(Final%20Administrative%20Determination,%20October%2023,%202023).pdf" TargetMode="External"/><Relationship Id="rId207" Type="http://schemas.openxmlformats.org/officeDocument/2006/relationships/hyperlink" Target="Notices%20of%20Initiation%20&amp;%20Interim%20Measures\7621%20Little%20Fireflies%20Int'l%20Co.%20and%20Granite%20Plumbing%20Products%20LLC%20(Notice%20of%20Inv%20and%20Interim%20Measures,%20Dec.%209,%202021).pdf" TargetMode="External"/><Relationship Id="rId228" Type="http://schemas.openxmlformats.org/officeDocument/2006/relationships/hyperlink" Target="Notices%20of%20Initiation%20&amp;%20Interim%20Measures\7586%20Vivaldi%20Commercial%20LLC%20(dba%20Superior%20Granite%20and%20Marble%20by%20V)%20and%20Vivaldi%20Interiors%20LLC%20(Notice%20of%20Initiation%20of%20Inv.%20of%20Interim%20Measures,%20May%2010,%202021).pdf" TargetMode="External"/><Relationship Id="rId249" Type="http://schemas.openxmlformats.org/officeDocument/2006/relationships/hyperlink" Target="Administrative%20Reviews\7553%20Skyview%20Cabinet%20USA,%20Inc.%20(Final%20Administrative%20Determination,%20Jan.%2028,%202022).pdf" TargetMode="External"/><Relationship Id="rId13" Type="http://schemas.openxmlformats.org/officeDocument/2006/relationships/hyperlink" Target="file://sa-dc2022/Cases/Customs%20matters/EAPA%20Database/Notices%20of%20Initiation%20%26%20Interim%20Measures/7232%20Columbia%20Aluminum%20Products%20LLC%20(Notice%20of%20Investigation%20and%20Interim%20Measures,%20Feb.%208,%202018).pdf" TargetMode="External"/><Relationship Id="rId109" Type="http://schemas.openxmlformats.org/officeDocument/2006/relationships/hyperlink" Target="Notices%20of%20Determination\7846%20Shari%20Pharmachem%20USA%20%20(Notice%20of%20Determination%20as%20to%20Evasion,%20September%2011,%202024).pdf" TargetMode="External"/><Relationship Id="rId34" Type="http://schemas.openxmlformats.org/officeDocument/2006/relationships/hyperlink" Target="file://sa-dc2022/Cases/Customs%20matters/EAPA%20Database/Notices%20of%20Determination/7348%20Ta%20Chen%20International%20Inc.%20(Notice%20of%20Determination%20of%20Evasion,%20Nov.%202,%202020).pdf" TargetMode="External"/><Relationship Id="rId55" Type="http://schemas.openxmlformats.org/officeDocument/2006/relationships/hyperlink" Target="file://sa-dc2022/Cases/Customs%20matters/EAPA%20Database/Notices%20of%20Determination/7257%20Core%20Pipe%20Products,%20Inc.%20(&#8220;Core%20Pipe&#8221;)%20(Notice%20of%20Determination%20as%20to%20Evasion,%20Oct.%209,%202019).pdf" TargetMode="External"/><Relationship Id="rId76" Type="http://schemas.openxmlformats.org/officeDocument/2006/relationships/hyperlink" Target="Notices%20of%20Initiation%20&amp;%20Interim%20Measures\8150%20Various%20Importers%20(Notice%20of%20Initiation%20of%20Investigation%20and%20Interim%20Measures,%20September%2010,%202025).pdf" TargetMode="External"/><Relationship Id="rId97" Type="http://schemas.openxmlformats.org/officeDocument/2006/relationships/hyperlink" Target="Notices%20of%20Initiation%20&amp;%20Interim%20Measures\7844%20Guy%20&amp;%20O&#8217;Neill,%20Inc.%20(Notice%20of%20Initiation%20of%20Investigation%20and%20Interim%20Measures,%20March%2028,%202024).pdf" TargetMode="External"/><Relationship Id="rId120" Type="http://schemas.openxmlformats.org/officeDocument/2006/relationships/hyperlink" Target="Notices%20of%20Determination\8112%20Ribest%20USA%20and%20TriMar%20(Notice%20of%20Determination%20as%20to%20Evasion,%20July%2011,%202025).pdf" TargetMode="External"/><Relationship Id="rId141" Type="http://schemas.openxmlformats.org/officeDocument/2006/relationships/hyperlink" Target="Notices%20of%20Initiation%20&amp;%20Interim%20Measures\7724%20WHP%20Associates%20(Notice%20of%20Initiation%20of%20Investigation%20and%20Interim%20Measures,%20October%203,%202022).pdf" TargetMode="External"/><Relationship Id="rId7" Type="http://schemas.openxmlformats.org/officeDocument/2006/relationships/hyperlink" Target="file://sa-dc2022/Cases/Customs%20matters/EAPA%20Database/Notices%20of%20Initiation%20%26%20Interim%20Measures/7191%20Brooklyn%20Knights%20Trading%20Inc.%20(&#8220;Brooklyn%20Knights&#8221;),%20et%20al%20(Notice%20of%20Initiation%20of%20Investigation%20and%20Interim%20Measures,%20May%2012,%202017).pdf" TargetMode="External"/><Relationship Id="rId162" Type="http://schemas.openxmlformats.org/officeDocument/2006/relationships/hyperlink" Target="Covered%20Merchandise%20Referrals\7412%20Covered%20Merchanidse%20Referral%206-30-2022.pdf" TargetMode="External"/><Relationship Id="rId183" Type="http://schemas.openxmlformats.org/officeDocument/2006/relationships/hyperlink" Target="Notices%20of%20Determination\7818%20Midwest%20Livestock%20Systems,%20LLC%20(Notice%20of%20Determination,%20April%209,%202024).pdf" TargetMode="External"/><Relationship Id="rId218" Type="http://schemas.openxmlformats.org/officeDocument/2006/relationships/hyperlink" Target="Notices%20of%20Determination\7607%20Splendid%20Trading%20and%20Superior%20(Notice%20of%20Determination%20as%20to%20Evasion,%20Feb.%2023,%202022)).pdf" TargetMode="External"/><Relationship Id="rId239" Type="http://schemas.openxmlformats.org/officeDocument/2006/relationships/hyperlink" Target="Notices%20of%20Determination\7522%20AAA%20Innovation%20LLC,%20et%20al.%20(Notice%20of%20Determination%20as%20to%20Evasion,%20Nov.%2024,%202021).pdf" TargetMode="External"/><Relationship Id="rId250" Type="http://schemas.openxmlformats.org/officeDocument/2006/relationships/hyperlink" Target="file://sa-dc2022/Cases/Customs%20matters/EAPA%20Database/Notices%20of%20Initiation%20%26%20Interim%20Measures/15135%20Eastern%20Trading%20NY%20Inc.%20(&#8220;Eastern%20Trading&#8221;)%20(Notice%20of%20Initiation%20of%20Inv.%20%26%20Interim%20Measures%20Oct.%2011,%202016).pdf" TargetMode="External"/><Relationship Id="rId24" Type="http://schemas.openxmlformats.org/officeDocument/2006/relationships/hyperlink" Target="file://sa-dc2022/Cases/Customs%20matters/EAPA%20Database/Notices%20of%20Initiation%20%26%20Interim%20Measures/7311%20Apec%20International%20LLC%20(Apec)%20(Notice%20of%20Investigation%20and%20Interim%20Measures,%20Jul.%209,%202019).pdf" TargetMode="External"/><Relationship Id="rId45" Type="http://schemas.openxmlformats.org/officeDocument/2006/relationships/hyperlink" Target="file://sa-dc2022/Cases/Customs%20matters/EAPA%20Database/Notices%20of%20Determination/7189%20American%20Furniture%20Manufacturers%20Committee%202%20for%20Legal%20Trade%20(&#8220;AFMC&#8221;)%20(Final%20Administrative%20Determination,%20Sep.%2024,%202020).pdf" TargetMode="External"/><Relationship Id="rId66" Type="http://schemas.openxmlformats.org/officeDocument/2006/relationships/hyperlink" Target="Notices%20of%20Initiation%20&amp;%20Interim%20Measures\8093%20Various%20Importers%20(Notice%20of%20Initiation%20of%20Investigation%20and%20Interim%20Measures,%20January%2028,%202025).pdf" TargetMode="External"/><Relationship Id="rId87" Type="http://schemas.openxmlformats.org/officeDocument/2006/relationships/hyperlink" Target="Notices%20of%20Initiation%20&amp;%20Interim%20Measures\7913%20Various%20Importers%20(Notice%20of%20Initiation%20of%20Investigation%20and%20Interim%20Measures,%20October%2030,%202024).pdf" TargetMode="External"/><Relationship Id="rId110" Type="http://schemas.openxmlformats.org/officeDocument/2006/relationships/hyperlink" Target="Notices%20of%20Determination\7844%20Guy%20and%20O&#8217;Neill%20Inc.%20(Notice%20of%20Determination%20as%20to%20Evasion,%20October%2018,%202024).pdf" TargetMode="External"/><Relationship Id="rId131" Type="http://schemas.openxmlformats.org/officeDocument/2006/relationships/hyperlink" Target="Notices%20of%20Determination\7887%20Various%20Importers%20(Notice%20of%20Determination%20as%20to%20Evasion,%20March%2017,%202025).pdf" TargetMode="External"/><Relationship Id="rId152" Type="http://schemas.openxmlformats.org/officeDocument/2006/relationships/hyperlink" Target="Notices%20of%20Initiation%20&amp;%20Interim%20Measures\7783%20Superior%20Commercial%20Solutions%20LLC%20(Notice%20of%20Initiation%20of%20Investigation%20and%20Interim%20Measures,%20Feb.%202,%202023).pdf" TargetMode="External"/><Relationship Id="rId173" Type="http://schemas.openxmlformats.org/officeDocument/2006/relationships/hyperlink" Target="Notices%20of%20Determination\7737%20Gorilla%20Paper,%20Inc.%20%20(Notice%20of%20Determination%20of%20Evasion,%20May%2012,%202023).pdf" TargetMode="External"/><Relationship Id="rId194" Type="http://schemas.openxmlformats.org/officeDocument/2006/relationships/hyperlink" Target="Administrative%20Reviews\7745%20A2%20Labels%20&amp;%20Rolls,%20Inc.%20(Final%20Administrative%20Determination,%20December%2022,%202023).pdf" TargetMode="External"/><Relationship Id="rId208" Type="http://schemas.openxmlformats.org/officeDocument/2006/relationships/hyperlink" Target="Notices%20of%20Determination\7621%20Little%20Fireflies,%20Granite%20Plumbing,%20Phoenix%20Metal%20(Notice%20of%20Determination%20as%20to%20Evasion,%20Sept.%206,%202022).pdf" TargetMode="External"/><Relationship Id="rId229" Type="http://schemas.openxmlformats.org/officeDocument/2006/relationships/hyperlink" Target="Notices%20of%20Determination\7586%20Vivaldi%20Commercial%20LLC%20(dba%20Superior%20Granite%20and%20Marble%20by%20V)%20and%20Vivaldi%20Interiors%20LLC%20(Notice%20of%20Determination%20as%20to%20Evasion,%20Dec.%206,%202021).pdf" TargetMode="External"/><Relationship Id="rId240" Type="http://schemas.openxmlformats.org/officeDocument/2006/relationships/hyperlink" Target="Administrative%20Reviews\7523%20Amlink%20Sourcing%20Inc.%20(Final%20Administrative%20Determination,%20Dec.%2021,%202021).pdf" TargetMode="External"/><Relationship Id="rId14" Type="http://schemas.openxmlformats.org/officeDocument/2006/relationships/hyperlink" Target="file://sa-dc2022/Cases/Customs%20matters/EAPA%20Database/Notices%20of%20Initiation%20%26%20Interim%20Measures/7238%20Dixon%20Ticonderoga%20Company%20(&#8220;Dixon&#8221;)%20(Notice%20of%20Investigation%20and%20Interim%20Measures,%20Mar.%2027,%202018).pdf" TargetMode="External"/><Relationship Id="rId35" Type="http://schemas.openxmlformats.org/officeDocument/2006/relationships/hyperlink" Target="file://sa-dc2022/Cases/Customs%20matters/EAPA%20Database/Administrative%20Reviews/7348%20Ta%20Chen%20International%20Inc.%20(Ta%20Chen)%20(Remand%20Redetermination,%20Jun.%2013.%202022).pdf" TargetMode="External"/><Relationship Id="rId56" Type="http://schemas.openxmlformats.org/officeDocument/2006/relationships/hyperlink" Target="file://sa-dc2022/Cases/Customs%20matters/EAPA%20Database/Notices%20of%20Determination/7270%20Salvi%20Chemical%20Industries%20Ltd.%20(&#8220;Salvi&#8221;)%20(Notice%20of%20Determination%20as%20to%20Evasion,%20Sep.%2025,%202019).pdf" TargetMode="External"/><Relationship Id="rId77" Type="http://schemas.openxmlformats.org/officeDocument/2006/relationships/hyperlink" Target="Notices%20of%20Initiation%20&amp;%20Interim%20Measures\8163%20Waaree%20and%20Waaree%20Americas%20(Notice%20of%20Initiation%20of%20Investigation%20and%20Interim%20Measures,%20September%2025,%202025).pdf" TargetMode="External"/><Relationship Id="rId100" Type="http://schemas.openxmlformats.org/officeDocument/2006/relationships/hyperlink" Target="Notices%20of%20Initiation%20&amp;%20Interim%20Measures\8135%20USASourcing%20Inc.%20and%20Tradewide%20Inc.%20(Notice%20of%20Initiation%20of%20Investigation%20and%20Interim%20Measures,%20May%2012,%202025).pdf" TargetMode="External"/><Relationship Id="rId8" Type="http://schemas.openxmlformats.org/officeDocument/2006/relationships/hyperlink" Target="file://sa-dc2022/Cases/Customs%20matters/EAPA%20Database/Notices%20of%20Determination/7191%20Brooklyn%20Knights%20Trading%20Inc.%20(&#8220;Brooklyn%20Knights&#8221;),%20et%20al%20(Notice%20of%20Determination,%20Mar.%2015,%202018).pdf" TargetMode="External"/><Relationship Id="rId98" Type="http://schemas.openxmlformats.org/officeDocument/2006/relationships/hyperlink" Target="Notices%20of%20Initiation%20&amp;%20Interim%20Measures\7856%20Various%20Importers%20(Amended%20Notice%20of%20Initiation%20of%20Investigation%20and%20Interim%20Measures,%20February%2016,%202024).pdf" TargetMode="External"/><Relationship Id="rId121" Type="http://schemas.openxmlformats.org/officeDocument/2006/relationships/hyperlink" Target="Notices%20of%20Determination\8042%20Allied%20Food%20(Notice%20of%20Determination%20as%20to%20Evasion,%20September%2017,%202025).pdf" TargetMode="External"/><Relationship Id="rId142" Type="http://schemas.openxmlformats.org/officeDocument/2006/relationships/hyperlink" Target="Notices%20of%20Initiation%20&amp;%20Interim%20Measures\7718%20Zinus%20Inc.%20(Notice%20of%20Inv.%20and%20Interim%20Measures,%20Oct.%2024,%202022).pdf" TargetMode="External"/><Relationship Id="rId163" Type="http://schemas.openxmlformats.org/officeDocument/2006/relationships/hyperlink" Target="Notices%20of%20Determination\7657%20Various%20Importers%20(Notice%20of%20Determination%20as%20to%20Evasion,%20November%207,%202022).pdf" TargetMode="External"/><Relationship Id="rId184" Type="http://schemas.openxmlformats.org/officeDocument/2006/relationships/hyperlink" Target="Notices%20of%20Determination\7813%20Ebuy%20Enterprises%20Limited%20and%20Highland%20USA%20International,%20Inc.%20(Notice%20of%20Determination%20as%20to%20Evasion,%20April%2024,%202024).pdf" TargetMode="External"/><Relationship Id="rId219" Type="http://schemas.openxmlformats.org/officeDocument/2006/relationships/hyperlink" Target="Notices%20of%20Initiation%20&amp;%20Interim%20Measures\7603%20BPI%20Group%20Inc.%20dba%20U.S.%20Cabinet%20Depot%20(Notice%20of%20Initiation%20and%20Interim%20Measures,%20July%201,%202021).pdf" TargetMode="External"/><Relationship Id="rId230" Type="http://schemas.openxmlformats.org/officeDocument/2006/relationships/hyperlink" Target="Notices%20of%20Initiation%20&amp;%20Interim%20Measures\7550%20Kingtom%20Aluminio%20SRL%20(Notice%20of%20Initiation%20and%20Interim%20Measures,%20May%2010,%202021).pdf" TargetMode="External"/><Relationship Id="rId251" Type="http://schemas.openxmlformats.org/officeDocument/2006/relationships/hyperlink" Target="file://sa-dc2022/Cases/Customs%20matters/EAPA%20Database/Notices%20of%20Determination/15135%20Eastern%20Trading%20NY%20Inc.%20(&#8220;Eastern%20Trading&#8221;)%20(Notice%20of%20Determination,%20August%2014,%202017).pdf" TargetMode="External"/><Relationship Id="rId25" Type="http://schemas.openxmlformats.org/officeDocument/2006/relationships/hyperlink" Target="file://sa-dc2022/Cases/Customs%20matters/EAPA%20Database/Notices%20of%20Initiation%20%26%20Interim%20Measures/7320%20GEO%20Specialty%20Chemicals,%20Inc.%20(Notice%20of%20Investigation%20and%20Interim%20Measures,%20Jul.%2017,%202019).pdf" TargetMode="External"/><Relationship Id="rId46" Type="http://schemas.openxmlformats.org/officeDocument/2006/relationships/hyperlink" Target="file://sa-dc2022/Cases/Customs%20matters/EAPA%20Database/Notices%20of%20Determination/7205%20Diamond%20Sawblades%20Manufacturers%20Coalition%20(DSMC)%20(Notice%20of%20Final%20Determination%20as%20to%20Evasion,%20July%2020,%202018).pdf" TargetMode="External"/><Relationship Id="rId67" Type="http://schemas.openxmlformats.org/officeDocument/2006/relationships/hyperlink" Target="Notices%20of%20Initiation%20&amp;%20Interim%20Measures\8133%20XCMG%20North%20America%20Corporation%20(Notice%20of%20Initiation%20of%20Investigation%20and%20Interim%20Measures,%20October%2010,%202025).pdf" TargetMode="External"/><Relationship Id="rId88" Type="http://schemas.openxmlformats.org/officeDocument/2006/relationships/hyperlink" Target="Notices%20of%20Initiation%20&amp;%20Interim%20Measures\7846%20Shari%20Pharmachem%20(USA)%20LLC%20(Notice%20of%20Initiation%20of%20Investigation%20and%20Interim%20Measures,%20February%2014,%202024).pdf" TargetMode="External"/><Relationship Id="rId111" Type="http://schemas.openxmlformats.org/officeDocument/2006/relationships/hyperlink" Target="Notices%20of%20Determination\7856%20Various%20Importers%20(Notice%20of%20Determination%20as%20to%20Evasion,%20September%2019,%202024).pdf" TargetMode="External"/><Relationship Id="rId132" Type="http://schemas.openxmlformats.org/officeDocument/2006/relationships/hyperlink" Target="Notices%20of%20Determination\7902%20Global%20Natural%20Ingredients%20(Notice%20of%20Determination%20as%20to%20Evasion,%20January%2013,%202025).pdf" TargetMode="External"/><Relationship Id="rId153" Type="http://schemas.openxmlformats.org/officeDocument/2006/relationships/hyperlink" Target="Notices%20of%20Initiation%20&amp;%20Interim%20Measures\7788%20Muller%20Import%20Inc.%20and%20U.S.%20Castings%20Inc.%20(Notice%20of%20Initiation%20of%20Investigation%20and%20Interim%20Measures,%20March%2029,%202023).pdf" TargetMode="External"/><Relationship Id="rId174" Type="http://schemas.openxmlformats.org/officeDocument/2006/relationships/hyperlink" Target="Notices%20of%20Determination\7722%20Vanguard%20Trading%20Company%20(Notice%20of%20Determination%20as%20to%20Evasion,%20June%2014,%202023).pdf" TargetMode="External"/><Relationship Id="rId195" Type="http://schemas.openxmlformats.org/officeDocument/2006/relationships/hyperlink" Target="Administrative%20Reviews\7783%20Superior%20Commercial%20Solutions,%20LLC%20(Final%20Administrative%20Determination,%20January%2011,%202024).pdf" TargetMode="External"/><Relationship Id="rId209" Type="http://schemas.openxmlformats.org/officeDocument/2006/relationships/hyperlink" Target="Notices%20of%20Initiation%20&amp;%20Interim%20Measures\7614%20ZL%20Center,%20USGS,%20Inc.,%20et%20al.%20(Notice%20of%20Initiation%20of%20Inv.%20and%20Interim%20Measures%20-%20Consol.%20EAPA%20Case,%20Sept.%2027,%202021).pdf" TargetMode="External"/><Relationship Id="rId220" Type="http://schemas.openxmlformats.org/officeDocument/2006/relationships/hyperlink" Target="Notices%20of%20Determination\7603%20BPI%20Group%20Inc.%20dba%20U.S.%20Cabinet%20Depot%20(Notice%20of%20Determination%20as%20t%20Evasion,%20Jan.%2027,%202022).pdf" TargetMode="External"/><Relationship Id="rId241" Type="http://schemas.openxmlformats.org/officeDocument/2006/relationships/hyperlink" Target="Administrative%20Reviews\7621%20Phoenix%20(Final%20Administrative%20Determination,%20Jan.%2018,%202023).pdf" TargetMode="External"/><Relationship Id="rId15" Type="http://schemas.openxmlformats.org/officeDocument/2006/relationships/hyperlink" Target="file://sa-dc2022/Cases/Customs%20matters/EAPA%20Database/Notices%20of%20Initiation%20%26%20Interim%20Measures/7250%20Diamond%20Sawblades%20Manufacturers&#8217;%20Coalition%20(&#8220;DSMC&#8221;)(Notice%20of%20Investigation%20and%20Interim%20Measures,%20July%2025,%202018).pdf" TargetMode="External"/><Relationship Id="rId36" Type="http://schemas.openxmlformats.org/officeDocument/2006/relationships/hyperlink" Target="file://sa-dc2022/Cases/Customs%20matters/EAPA%20Database/Administrative%20Reviews/7250%20Diamond%20Sawblades%20Manufacturers&#8217;%20Coalition%20(Final%20Administrative%20Determination,%20December%2020,%202021).pdf" TargetMode="External"/><Relationship Id="rId57" Type="http://schemas.openxmlformats.org/officeDocument/2006/relationships/hyperlink" Target="file://sa-dc2022/Cases/Customs%20matters/EAPA%20Database/Notices%20of%20Determination/7297%20Allied%20Group%20(&#8220;Allied&#8221;)%20(Notice%20of%20Determination%20as%20to%20Evasion,%20Jan.%2022,%202020).pdf" TargetMode="External"/><Relationship Id="rId78" Type="http://schemas.openxmlformats.org/officeDocument/2006/relationships/hyperlink" Target="Notices%20of%20Initiation%20&amp;%20Interim%20Measures\8199%20Coastal%20Forest%20Products%20(Notice%20of%20Initiation%20of%20Investigation%20and%20Interim%20Measures,%20September%2030,%202025).pdf" TargetMode="External"/><Relationship Id="rId99" Type="http://schemas.openxmlformats.org/officeDocument/2006/relationships/hyperlink" Target="Notices%20of%20Initiation%20&amp;%20Interim%20Measures\7821%20VY%20Industries%20Inc.%20(Notice%20of%20Initiation%20of%20Investigation%20and%20Interim%20Measures,%20March%2026,%202024).pdf" TargetMode="External"/><Relationship Id="rId101" Type="http://schemas.openxmlformats.org/officeDocument/2006/relationships/hyperlink" Target="Notices%20of%20Initiation%20&amp;%20Interim%20Measures\7838%20Various%20Importers%20(Notice%20of%20Initiation%20of%20Investigation%20and%20Interim%20Measures,%20March%2011,%202024).pdf" TargetMode="External"/><Relationship Id="rId122" Type="http://schemas.openxmlformats.org/officeDocument/2006/relationships/hyperlink" Target="Notices%20of%20Determination\8137%20Island%20Home%20Building%20Materials,%20Inc.%20(Notice%20of%20Determination%20as%20to%20Evasion,%20October%2030,%202025).pdf" TargetMode="External"/><Relationship Id="rId143" Type="http://schemas.openxmlformats.org/officeDocument/2006/relationships/hyperlink" Target="Notices%20of%20Initiation%20&amp;%20Interim%20Measures\7711%20Pitts%20Enterprises,%20Inc.%20(Notice%20of%20Initiation%20of%20Investigation%20and%20Interim%20Measures,%20October%2025,%202022).pdf" TargetMode="External"/><Relationship Id="rId164" Type="http://schemas.openxmlformats.org/officeDocument/2006/relationships/hyperlink" Target="Notices%20of%20Determination\7673%20Various%20Importers%20(Notice%20of%20Final%20Determination%20as%20to%20Evasion,%20October%206,%202022).pdf" TargetMode="External"/><Relationship Id="rId185" Type="http://schemas.openxmlformats.org/officeDocument/2006/relationships/hyperlink" Target="Administrative%20Reviews\7657%20KAT%20Specialties,%20Inc.%20(&#8220;KAT&#8221;)%20and%20Kingway%20Construction%20Supplies,%20Inc.%20(Final%20Administrative%20Determination,%20March%2021,%202023).pdf" TargetMode="External"/><Relationship Id="rId9" Type="http://schemas.openxmlformats.org/officeDocument/2006/relationships/hyperlink" Target="file://sa-dc2022/Cases/Customs%20matters/EAPA%20Database/Notices%20of%20Initiation%20%26%20Interim%20Measures/7205%20Power%20Tek%20Tool,%20Inc,%20et%20al.%20(Notice%20of%20Initiation%20and%20Interim%20Measures,%20July%2018,%202017).pdf" TargetMode="External"/><Relationship Id="rId210" Type="http://schemas.openxmlformats.org/officeDocument/2006/relationships/hyperlink" Target="Notices%20of%20Determination\7614%20ZL%20Center,LLC%20et%20al.%20Notice%20of%20Determination%20as%20to%20Evasion,%20April%2025,%202022.pdf" TargetMode="External"/><Relationship Id="rId26" Type="http://schemas.openxmlformats.org/officeDocument/2006/relationships/hyperlink" Target="file://sa-dc2022/Cases/Customs%20matters/EAPA%20Database/Notices%20of%20Initiation%20%26%20Interim%20Measures/7321%20Coalition%20for%20Fair%20Trade%20of%20Hardwood%20Plywood%20(Notice%20of%20Investigation%20and%20Interim%20Measures,%20Jun.%2026,%202019).pdf" TargetMode="External"/><Relationship Id="rId231" Type="http://schemas.openxmlformats.org/officeDocument/2006/relationships/hyperlink" Target="Notices%20of%20Determination\7550%20Kingtom%20Aluminio%20SRL%20(Notice%20of%20Determination%20of%20Evasion,%20Feb.%204,%202022).pdf" TargetMode="External"/><Relationship Id="rId252" Type="http://schemas.openxmlformats.org/officeDocument/2006/relationships/hyperlink" Target="file://sa-dc2022/Cases/Customs%20matters/EAPA%20Database/Notices%20of%20Initiation%20%26%20Interim%20Measures/7191%20Brooklyn%20Knights%20Trading%20Inc.%20(&#8220;Brooklyn%20Knights&#8221;),%20et%20al%20(Notice%20of%20Initiation%20of%20Investigation%20and%20Interim%20Measures,%20May%2012,%202017).pdf" TargetMode="External"/><Relationship Id="rId47" Type="http://schemas.openxmlformats.org/officeDocument/2006/relationships/hyperlink" Target="file://sa-dc2022/Cases/Customs%20matters/EAPA%20Database/Notices%20of%20Determination/7204%20Aztec%20Manufacturing%20Partnership,%20Ltd.%20(&#8220;Aztec&#8221;)%20(Notice%20of%20Determination%20as%20to%20Evasion,%20May%2021,%202018).pdf" TargetMode="External"/><Relationship Id="rId68" Type="http://schemas.openxmlformats.org/officeDocument/2006/relationships/hyperlink" Target="Notices%20of%20Initiation%20&amp;%20Interim%20Measures\8112%20TriMar%20Ribbons%20Inc.%20and%20Ribest%20Ribbons%20&amp;%20Bows%20USA%20Inc.%20(Notice%20of%20Initiation%20of%20Investigation%20and%20Interim%20Measures,%20February%203,%202025).pdf" TargetMode="External"/><Relationship Id="rId89" Type="http://schemas.openxmlformats.org/officeDocument/2006/relationships/hyperlink" Target="Notices%20of%20Initiation%20&amp;%20Interim%20Measures\7839%20AXN%20Heavy%20Duty%20LLC%20(Notice%20of%20Initiation%20of%20Investigation%20and%20Interim%20Measures,%20July%2031,%202024).pdf" TargetMode="External"/><Relationship Id="rId112" Type="http://schemas.openxmlformats.org/officeDocument/2006/relationships/hyperlink" Target="Notices%20of%20Determination\7821%20VY%20Industries%20(Notice%20of%20Determination%20as%20to%20Evasion,%20October%2022,%202024).pdf" TargetMode="External"/><Relationship Id="rId133" Type="http://schemas.openxmlformats.org/officeDocument/2006/relationships/hyperlink" Target="Notices%20of%20Determination\7890%20Various%20Importers%20(Notice%20of%20Determination%20as%20to%20Evasion,%20February%2024,%202025).pdf" TargetMode="External"/><Relationship Id="rId154" Type="http://schemas.openxmlformats.org/officeDocument/2006/relationships/hyperlink" Target="Notices%20of%20Initiation%20&amp;%20Interim%20Measures\7794%20Colony%20Gums%20Inc.%20(Notice%20of%20Initiation%20of%20Investigation%20and%20Interim%20Measures,%20May%2015,%202023).pdf" TargetMode="External"/><Relationship Id="rId175" Type="http://schemas.openxmlformats.org/officeDocument/2006/relationships/hyperlink" Target="Notices%20of%20Determination\7782%20YVC%20USA%20(Notice%20of%20Determination%20as%20to%20Evasion,%20Aug.%2016,%202023).pdf" TargetMode="External"/><Relationship Id="rId196" Type="http://schemas.openxmlformats.org/officeDocument/2006/relationships/hyperlink" Target="Administrative%20Reviews\7796%20Lollicup%20USA%20Inc.%20(Final%20Administrative%20Determination,%20June%2011,%202024).pdf" TargetMode="External"/><Relationship Id="rId200" Type="http://schemas.openxmlformats.org/officeDocument/2006/relationships/hyperlink" Target="Notices%20of%20Initiation%20&amp;%20Interim%20Measures\8139%20Ramos%20Commodity%20Corporation%20(Notice%20of%20Initiation%20of%20Investigation%20and%20Interim%20Measures,%20December%2018,%202025).pdf" TargetMode="External"/><Relationship Id="rId16" Type="http://schemas.openxmlformats.org/officeDocument/2006/relationships/hyperlink" Target="file://sa-dc2022/Cases/Customs%20matters/EAPA%20Database/Notices%20of%20Initiation%20%26%20Interim%20Measures/7251%20Endura%20Products,%20Inc.&#8217;s%20(&#8220;Endura&#8221;)%20(Notice%20of%20Investigation%20and%20Interim%20Measures,%20Aug.%2010,%202018).pdf" TargetMode="External"/><Relationship Id="rId221" Type="http://schemas.openxmlformats.org/officeDocument/2006/relationships/hyperlink" Target="Notices%20of%20Initiation%20&amp;%20Interim%20Measures\7604%20Simpli%20Home,%20Ltd.%20(Notice%20of%20Initiation%20of%20Inv.%20&amp;%20Interim%20Measures,%20June%2029,%202021).pdf" TargetMode="External"/><Relationship Id="rId242" Type="http://schemas.openxmlformats.org/officeDocument/2006/relationships/hyperlink" Target="Administrative%20Reviews\7647%20Starille,%20Ltd.;%20Nutrawave;%20Newtrend%20(Final%20Administrative%20Determination,%20Nov.%2030,%202022).pdf" TargetMode="External"/><Relationship Id="rId37" Type="http://schemas.openxmlformats.org/officeDocument/2006/relationships/hyperlink" Target="file://sa-dc2022/Cases/Customs%20matters/EAPA%20Database/Administrative%20Reviews/7251%20Endura%20Products,%20Inc.&#8217;s%20(&#8220;Endura&#8221;)%20(Final%20Administrative%20Determination,%20January%2030,%202020).pdf" TargetMode="External"/><Relationship Id="rId58" Type="http://schemas.openxmlformats.org/officeDocument/2006/relationships/hyperlink" Target="file://sa-dc2022/Cases/Customs%20matters/EAPA%20Database/Notices%20of%20Determination/7292%20The%20Fresh%20Garlic%20Producers%20Association%20(&#8220;FPGA&#8221;)%20(Notice%20of%20Determination%20as%20to%20Evasion,%20Feb.%2010,%202020).pdf" TargetMode="External"/><Relationship Id="rId79" Type="http://schemas.openxmlformats.org/officeDocument/2006/relationships/hyperlink" Target="Notices%20of%20Initiation%20&amp;%20Interim%20Measures\8210%20Various%20Importers%20(Notice%20of%20Initiation%20of%20Investigation%20and%20Interim%20Measures,%20October%2031,%202025).pdf" TargetMode="External"/><Relationship Id="rId102" Type="http://schemas.openxmlformats.org/officeDocument/2006/relationships/hyperlink" Target="Covered%20Merchandise%20Referrals\7839%20Covered%20Merchandise%20Referral,%20March%2011,%202025.pdf" TargetMode="External"/><Relationship Id="rId123" Type="http://schemas.openxmlformats.org/officeDocument/2006/relationships/hyperlink" Target="Notices%20of%20Determination\8135%20Various%20Importers%20(Notice%20of%20Determination%20as%20to%20Evasion,%20November%206,%202025).pdf" TargetMode="External"/><Relationship Id="rId144" Type="http://schemas.openxmlformats.org/officeDocument/2006/relationships/hyperlink" Target="Notices%20of%20Initiation%20&amp;%20Interim%20Measures\7730%20Double%20L%20Group,%20LLC%20and%20Manufacturing%20Network%20Inc.%20(Notice%20of%20Inv.%20and%20Interim%20Measures,%20Oct.%2026,%202022).pdf" TargetMode="External"/><Relationship Id="rId90" Type="http://schemas.openxmlformats.org/officeDocument/2006/relationships/hyperlink" Target="Notices%20of%20Initiation%20&amp;%20Interim%20Measures\7950%20Various%20Importers%20(Notice%20of%20Initiation%20of%20Investigation%20and%20Interim%20Measures,%20July%2009,%202024).pdf" TargetMode="External"/><Relationship Id="rId165" Type="http://schemas.openxmlformats.org/officeDocument/2006/relationships/hyperlink" Target="Notices%20of%20Determination\7621%20Little%20Fireflies,%20Granite%20Plumbing,%20Phoenix%20Metal%20(Notice%20of%20Determination%20as%20to%20Evasion,%20Sept.%206,%202022).pdf" TargetMode="External"/><Relationship Id="rId186" Type="http://schemas.openxmlformats.org/officeDocument/2006/relationships/hyperlink" Target="Administrative%20Reviews\7673%20Uni%20Tile%20and%20Marble,%20Inc.%20and%20Kingway%20Constructions%20and%20Supplies%20Co.,%20Inc.%20(Final%20Administrative%20Determination,%20February%2017,%202023).pdf" TargetMode="External"/><Relationship Id="rId211" Type="http://schemas.openxmlformats.org/officeDocument/2006/relationships/hyperlink" Target="Notices%20of%20Initiation%20&amp;%20Interim%20Measures\7647%20Starille,%20Ltd.%20et%20al.%20(Initiation%20Notice%20of%20Inv.%20&amp;%20Interim%20Measures,%20Oct.%2026,%202021).pdf" TargetMode="External"/><Relationship Id="rId232" Type="http://schemas.openxmlformats.org/officeDocument/2006/relationships/hyperlink" Target="Notices%20of%20Initiation%20&amp;%20Interim%20Measures\7583%20CNC%20Associates%20(CNC%20Cabinetry)%20and%20or%20Direct%20Builders%20Supply%20Inc.%20(Notice%20of%20Initiation%20and%20Interim%20Measures,%20May%205,%202021).pdf" TargetMode="External"/><Relationship Id="rId253" Type="http://schemas.openxmlformats.org/officeDocument/2006/relationships/hyperlink" Target="file://sa-dc2022/Cases/Customs%20matters/EAPA%20Database/Notices%20of%20Determination/7191%20Brooklyn%20Knights%20Trading%20Inc.%20(&#8220;Brooklyn%20Knights&#8221;),%20et%20al%20(Notice%20of%20Determination,%20Mar.%2015,%202018).pdf" TargetMode="External"/><Relationship Id="rId27" Type="http://schemas.openxmlformats.org/officeDocument/2006/relationships/hyperlink" Target="file://sa-dc2022/Cases/Customs%20matters/EAPA%20Database/Notices%20of%20Initiation%20%26%20Interim%20Measures/7348%20Ta%20Chen%20International%20Inc.%20(Notice%20of%20Investigation%20and%20Interim%20Measures,%20Oct.%2031,%202019).pdf" TargetMode="External"/><Relationship Id="rId48" Type="http://schemas.openxmlformats.org/officeDocument/2006/relationships/hyperlink" Target="file://sa-dc2022/Cases/Customs%20matters/EAPA%20Database/Notices%20of%20Determination/7208%20GEO%20Specialty%20Chemicals,%20Inc.%20(GEO%20Specialty)%20(Notice%20of%20Final%20Determination%20as%20to%20Evasion,%20July%202,%202018).pdf" TargetMode="External"/><Relationship Id="rId69" Type="http://schemas.openxmlformats.org/officeDocument/2006/relationships/hyperlink" Target="Notices%20of%20Initiation%20&amp;%20Interim%20Measures\8052%20Various%20Importers%20(Notice%20of%20Initiation%20of%20Investigation%20and%20Interim%20Measures,%20January%2028,%202025).pdf" TargetMode="External"/><Relationship Id="rId113" Type="http://schemas.openxmlformats.org/officeDocument/2006/relationships/hyperlink" Target="Notices%20of%20Determination\7838%20Musa%20Stone%20and%20KMGK%20(Notice%20of%20Determination%20as%20to%20Evasion,%20August%2019,%202024).pdf" TargetMode="External"/><Relationship Id="rId134" Type="http://schemas.openxmlformats.org/officeDocument/2006/relationships/hyperlink" Target="Notices%20of%20Determination\7853%20Foods%20LLC%20(Notice%20of%20Determination%20as%20to%20Evasion,%20January%2027,%202025).pdf" TargetMode="External"/><Relationship Id="rId80" Type="http://schemas.openxmlformats.org/officeDocument/2006/relationships/hyperlink" Target="Notices%20of%20Initiation%20&amp;%20Interim%20Measures\8206%20Wysdom%20USA%20Co.,%20Ltd%20(Notice%20of%20Initiation%20of%20Investigation%20and%20Interim%20Measures,%20November%2013,%202025).pdf" TargetMode="External"/><Relationship Id="rId155" Type="http://schemas.openxmlformats.org/officeDocument/2006/relationships/hyperlink" Target="Notices%20of%20Initiation%20&amp;%20Interim%20Measures\7796%20Exquis%20Inc.,%20Lollicup%20USA%20Inc.,%20and%20Sanster%20Corporation%20(Notice%20of%20Inv%20and%20Interim%20Measures,%20May%209,%202023).pdf" TargetMode="External"/><Relationship Id="rId176" Type="http://schemas.openxmlformats.org/officeDocument/2006/relationships/hyperlink" Target="Notices%20of%20Determination\7745%20Various%20Importers%20(Notice%20of%20Determination%20as%20to%20Evasion,%20Aug.%2021,%202023).pdf" TargetMode="External"/><Relationship Id="rId197" Type="http://schemas.openxmlformats.org/officeDocument/2006/relationships/hyperlink" Target="Administrative%20Reviews\7809%20Legion%20Furniture,%20Inc.%20(Final%20Administrative%20Determination,%20June%2020,%202024).pdf" TargetMode="External"/><Relationship Id="rId201" Type="http://schemas.openxmlformats.org/officeDocument/2006/relationships/hyperlink" Target="Notices%20of%20Initiation%20&amp;%20Interim%20Measures\8132%20Wholesale%20Equipment%20Co.%20(Notice%20of%20Initiation%20of%20Investigation%20and%20Interim%20Measures,%20April%2017,%202025).pdf" TargetMode="External"/><Relationship Id="rId222" Type="http://schemas.openxmlformats.org/officeDocument/2006/relationships/hyperlink" Target="Notices%20of%20Determination\7604%20Simpli%20Home,%20Ltd.%20(Notice%20of%20Determinaton%20as%20to%20Evasion,%20Jan.%2025,%202022).pdf" TargetMode="External"/><Relationship Id="rId243" Type="http://schemas.openxmlformats.org/officeDocument/2006/relationships/hyperlink" Target="Administrative%20Reviews\7618%20CNC%20Associates%20N.Y.,%20Inc.%20(Final%20Administrative%20Determination,%20Oct.%2021,%202022).pdf" TargetMode="External"/><Relationship Id="rId17" Type="http://schemas.openxmlformats.org/officeDocument/2006/relationships/hyperlink" Target="file://sa-dc2022/Cases/Customs%20matters/EAPA%20Database/Notices%20of%20Initiation%20%26%20Interim%20Measures/7252%20Plywood%20Source,%20LLP%20(Plywood%20Source)%20(Notice%20of%20Investigation%20and%20Interim%20Measures,%20Aug.%2015,%202018).pdf" TargetMode="External"/><Relationship Id="rId38" Type="http://schemas.openxmlformats.org/officeDocument/2006/relationships/hyperlink" Target="file://sa-dc2022/Cases/Customs%20matters/EAPA%20Database/Administrative%20Reviews/7252%20Plywood%20Source,%20LLP%20(Plywood%20Source)%20(Final%20Administrative%20Determination,%20June%206,%202022).pdf" TargetMode="External"/><Relationship Id="rId59" Type="http://schemas.openxmlformats.org/officeDocument/2006/relationships/hyperlink" Target="file://sa-dc2022/Cases/Customs%20matters/EAPA%20Database/Notices%20of%20Determination/7281%20CP%20Kelco%20U.S.,%20Inc.%20(CP%20Kelco)%20(Notice%20of%20Determination%20as%20to%20Evasion,%20March%209,%202020).pdf" TargetMode="External"/><Relationship Id="rId103" Type="http://schemas.openxmlformats.org/officeDocument/2006/relationships/hyperlink" Target="Covered%20Merchandise%20Referrals\7950%20Covered%20Merchandise%20Referral,%20December%2018,%202024.pdf" TargetMode="External"/><Relationship Id="rId124" Type="http://schemas.openxmlformats.org/officeDocument/2006/relationships/hyperlink" Target="Notices%20of%20Determination\7913%20Various%20Importers%20(Notice%20of%20Determination%20as%20to%20Evasion,%20May%2029,%202025).pdf" TargetMode="External"/><Relationship Id="rId70" Type="http://schemas.openxmlformats.org/officeDocument/2006/relationships/hyperlink" Target="Notices%20of%20Initiation%20&amp;%20Interim%20Measures\8042%20Allied%20Food%20Products%20Inc.%20(Notice%20of%20Initiation%20of%20Investigation%20and%20Interim%20Measures,%20February%2020,%202025).pdf" TargetMode="External"/><Relationship Id="rId91" Type="http://schemas.openxmlformats.org/officeDocument/2006/relationships/hyperlink" Target="Notices%20of%20Initiation%20&amp;%20Interim%20Measures\7888%20Various%20Importers%20(Notice%20of%20Initiation%20of%20Investigation%20and%20Interim%20Measures,%20June%2017,%202024).pdf" TargetMode="External"/><Relationship Id="rId145" Type="http://schemas.openxmlformats.org/officeDocument/2006/relationships/hyperlink" Target="Notices%20of%20Initiation%20&amp;%20Interim%20Measures\7737%20Gorilla%20Paper%20(Notice%20of%20Inv.%20and%20Interim%20Measures,%20Nov.%203,%202022).pdf" TargetMode="External"/><Relationship Id="rId166" Type="http://schemas.openxmlformats.org/officeDocument/2006/relationships/hyperlink" Target="Notices%20of%20Determination\7675%20Acmetex%20Inc.,%20New%20Fire%20Co.%20Ltd.%20(Notice%20of%20Determination%20as%20to%20Evasion,%20December%2027,%202022).pdf" TargetMode="External"/><Relationship Id="rId187" Type="http://schemas.openxmlformats.org/officeDocument/2006/relationships/hyperlink" Target="Administrative%20Reviews\7621%20Phoenix%20(Final%20Administrative%20Determination,%20Jan.%2018,%202023).pdf" TargetMode="External"/><Relationship Id="rId1" Type="http://schemas.openxmlformats.org/officeDocument/2006/relationships/hyperlink" Target="file://sa-dc2022/Cases/Customs%20matters/EAPA%20Database/Notices%20of%20Initiation%20%26%20Interim%20Measures/15135%20Eastern%20Trading%20NY%20Inc.%20(&#8220;Eastern%20Trading&#8221;)%20(Notice%20of%20Initiation%20of%20Inv.%20%26%20Interim%20Measures%20Oct.%2011,%202016).pdf" TargetMode="External"/><Relationship Id="rId212" Type="http://schemas.openxmlformats.org/officeDocument/2006/relationships/hyperlink" Target="Notices%20of%20Determination\7647%20Starille,%20Ltd.;%20Nutrawave%20Co.,%20Ltd.;%20and%20Newtrend%20USA%20Co.,%20Ltd.%20(Notice%20of%20Final%20Determination%20as%20to%20Evasion,%20July%2022,%202022).pdf" TargetMode="External"/><Relationship Id="rId233" Type="http://schemas.openxmlformats.org/officeDocument/2006/relationships/hyperlink" Target="Notices%20of%20Determination\7583%20CNC%20Associates%20(CNC%20Cabinetry)%20and%20or%20Direct%20Builders%20Supply%20Inc.%20(Notice%20of%20Determination%20as%20to%20Evasion,%20Jan.%2031,%202022).pdf" TargetMode="External"/><Relationship Id="rId254" Type="http://schemas.openxmlformats.org/officeDocument/2006/relationships/hyperlink" Target="Notices%20of%20Initiation%20&amp;%20Interim%20Measures\7785%20LDL%20Trading%20Company%20(Notice%20of%20Initiation%20of%20Investigation%20and%20Interim%20Measures,%20Feb.%201,%202023).pdf" TargetMode="External"/><Relationship Id="rId28" Type="http://schemas.openxmlformats.org/officeDocument/2006/relationships/hyperlink" Target="file://sa-dc2022/Cases/Customs%20matters/EAPA%20Database/Notices%20of%20Initiation%20%26%20Interim%20Measures/7352%20Leggett%20%26%20Platt,%20Incorporated%20(Notice%20of%20Investigation%20and%20Interim%20Measures,%20Sep.%2020,%202019).pdf" TargetMode="External"/><Relationship Id="rId49" Type="http://schemas.openxmlformats.org/officeDocument/2006/relationships/hyperlink" Target="file://sa-dc2022/Cases/Customs%20matters/EAPA%20Database/Notices%20of%20Determination/7208%20GEO%20Specialty%20Chemicals,%20Inc.%20(GEO%20Specialty)%20(Notice%20of%20Final%20Determination%20as%20to%20Evasion,%20July%202,%202018).pdf" TargetMode="External"/><Relationship Id="rId114" Type="http://schemas.openxmlformats.org/officeDocument/2006/relationships/hyperlink" Target="Notices%20of%20Determination\7814%20Texas%20United%20Chemical%20Company,%20LLC.%20(Notice%20of%20Determination%20as%20to%20Evasion,%20June%2005,%202024).pdf" TargetMode="External"/><Relationship Id="rId60" Type="http://schemas.openxmlformats.org/officeDocument/2006/relationships/hyperlink" Target="file://sa-dc2022/Cases/Customs%20matters/EAPA%20Database/Notices%20of%20Determination/7282%20CP%20Kelco%20U.S.,%20Inc.%20(CP%20Kelco)%20(Notice%20of%20Determination%20as%20to%20Evasion,%20March%209,%202020).pdf" TargetMode="External"/><Relationship Id="rId81" Type="http://schemas.openxmlformats.org/officeDocument/2006/relationships/hyperlink" Target="Notices%20of%20Initiation%20&amp;%20Interim%20Measures\8201%20Various%20Importers%20(Notice%20of%20Initiation%20of%20Investigation%20and%20Interim%20Measures,%20December%2015,%202025).pdf" TargetMode="External"/><Relationship Id="rId135" Type="http://schemas.openxmlformats.org/officeDocument/2006/relationships/hyperlink" Target="Notices%20of%20Initiation%20&amp;%20Interim%20Measures\7673%20Various%20Importers%20(Notice%20of%20Initiation%20of%20Investigation%20and%20Interim%20Measures,%20October%206,%202022).pdf" TargetMode="External"/><Relationship Id="rId156" Type="http://schemas.openxmlformats.org/officeDocument/2006/relationships/hyperlink" Target="Notices%20of%20Initiation%20&amp;%20Interim%20Measures\7809%20Vanity%20Art,%20LLC%20and%20Legion%20Furniture,%20Inc.%20%20(Notice%20of%20Inv%20and%20Interim%20Measures,%20May%2017,%202023).pdf" TargetMode="External"/><Relationship Id="rId177" Type="http://schemas.openxmlformats.org/officeDocument/2006/relationships/hyperlink" Target="Notices%20of%20Determination\7734%20Fortress%20Iron,%20LP%20(Notice%20of%20Determination%20as%20to%20Evasion,%20Aug.%2021,%202023).pdf" TargetMode="External"/><Relationship Id="rId198" Type="http://schemas.openxmlformats.org/officeDocument/2006/relationships/hyperlink" Target="Administrative%20Reviews\7412%20Fedmet%20Resources%20Corporation,%20LLC%20(Final%20Administrative%20Determination,%20April%2013,%202021).pdf" TargetMode="External"/><Relationship Id="rId202" Type="http://schemas.openxmlformats.org/officeDocument/2006/relationships/hyperlink" Target="Notices%20of%20Determination\8132%20Wholesale%20Equipment%20Co.,%20dba%20WEC%20Manufacturing%20(Notice%20of%20Determination%20as%20to%20Evasion,%20November%2013,%202025).pdf" TargetMode="External"/><Relationship Id="rId223" Type="http://schemas.openxmlformats.org/officeDocument/2006/relationships/hyperlink" Target="Notices%20of%20Determination\7579%20A&amp;A%20Pharmachem%20Inc.%20USA%20(Notice%20of%20Determination%20as%20to%20Evasion,%20Dec.%2023,%202021).pdf" TargetMode="External"/><Relationship Id="rId244" Type="http://schemas.openxmlformats.org/officeDocument/2006/relationships/hyperlink" Target="Administrative%20Reviews\7607%20Vivaldi%20Commercial%20LLC%20(Final%20Administrative%20Determination,%20July%201,%202022).pdf" TargetMode="External"/><Relationship Id="rId18" Type="http://schemas.openxmlformats.org/officeDocument/2006/relationships/hyperlink" Target="file://sa-dc2022/Cases/Customs%20matters/EAPA%20Database/Notices%20of%20Initiation%20%26%20Interim%20Measures/7257%20Core%20Pipe%20Products,%20Inc.%20(&#8220;Core%20Pipe&#8221;)%20(Notice%20of%20Investigation%20and%20Interim%20Measures,%20Aug.%2030,%202018).pdf" TargetMode="External"/><Relationship Id="rId39" Type="http://schemas.openxmlformats.org/officeDocument/2006/relationships/hyperlink" Target="file://sa-dc2022/Cases/Customs%20matters/EAPA%20Database/Administrative%20Reviews/7252%20Plywood%20Source,%20LLP%20(Plywood%20Source)%20(Final%20Administrative%20Suppl.%20Determination,%20July%206,%202022).pdf" TargetMode="External"/><Relationship Id="rId50" Type="http://schemas.openxmlformats.org/officeDocument/2006/relationships/hyperlink" Target="file://sa-dc2022/Cases/Customs%20matters/EAPA%20Database/Notices%20of%20Determination/7208%20GEO%20Specialty%20Chemicals,%20Inc.%20(GEO%20Specialty)%20(Notice%20of%20Final%20Determination%20as%20to%20Evasion,%20July%202,%202018).pdf" TargetMode="External"/><Relationship Id="rId104" Type="http://schemas.openxmlformats.org/officeDocument/2006/relationships/hyperlink" Target="Administrative%20Reviews\7887%20Kingka%20Cabinet,%20Inc.%20(Final%20Administrative%20Determination,%20July%2024,%202025).pdf" TargetMode="External"/><Relationship Id="rId125" Type="http://schemas.openxmlformats.org/officeDocument/2006/relationships/hyperlink" Target="Notices%20of%20Determination\7907%20Sinoboom%20North%20America,%20LLC%20(Notice%20of%20Determination%20as%20to%20Evasion,%20June%2030,%202025).pdf" TargetMode="External"/><Relationship Id="rId146" Type="http://schemas.openxmlformats.org/officeDocument/2006/relationships/hyperlink" Target="Notices%20of%20Initiation%20&amp;%20Interim%20Measures\7722%20Vanguard%20Trading%20Company%20(Notice%20of%20Inv.%20and%20Interim%20Measures,%20Nov.%2017,%202022).pdf" TargetMode="External"/><Relationship Id="rId167" Type="http://schemas.openxmlformats.org/officeDocument/2006/relationships/hyperlink" Target="Notices%20of%20Determination\7699%20C.I.S.%20Investments,%20LLC%20(Notice%20of%20Determination%20as%20to%20Evasion,%20December%2020,%202022).pdf" TargetMode="External"/><Relationship Id="rId188" Type="http://schemas.openxmlformats.org/officeDocument/2006/relationships/hyperlink" Target="Administrative%20Reviews\7699%20C.I.S.%20Investments,%20LLC%20(Final%20Administrative%20Determination,%20May%201,%202023).pdf" TargetMode="External"/><Relationship Id="rId71" Type="http://schemas.openxmlformats.org/officeDocument/2006/relationships/hyperlink" Target="Notices%20of%20Initiation%20&amp;%20Interim%20Measures\8137%20Island%20Home%20Building%20Materials,%20Inc.%20(Notice%20of%20Initiation%20of%20Investigation%20and%20Interim%20Measures,%20May%2006,%202025).pdf" TargetMode="External"/><Relationship Id="rId92" Type="http://schemas.openxmlformats.org/officeDocument/2006/relationships/hyperlink" Target="Notices%20of%20Initiation%20&amp;%20Interim%20Measures\7887%20Various%20Importers%20(Notice%20of%20Initiation%20of%20Investigation%20and%20Interim%20Measures,%20June%2018,%202024).pdf" TargetMode="External"/><Relationship Id="rId213" Type="http://schemas.openxmlformats.org/officeDocument/2006/relationships/hyperlink" Target="Notices%20of%20Initiation%20&amp;%20Interim%20Measures\7663%20Starille,%20Ltd.;%20Nutrawave%20Co.,%20Ltd.;%20and%20Newtrend%20USA%20Co.,%20Ltd.%20(Notice%20of%20Initiation%20of%20Inv.%20&amp;%20Interim%20Measures,%20Oct.%2026,%202021).pdf" TargetMode="External"/><Relationship Id="rId234" Type="http://schemas.openxmlformats.org/officeDocument/2006/relationships/hyperlink" Target="Notices%20of%20Initiation%20&amp;%20Interim%20Measures\7553%20Pacific%20Building%20Material%20Inc.,%20et%20al.%20(NOI%20and%20Interim%20Measures,%20Feb.%2019,%202021).pdf" TargetMode="External"/><Relationship Id="rId2" Type="http://schemas.openxmlformats.org/officeDocument/2006/relationships/hyperlink" Target="file://sa-dc2022/Cases/Customs%20matters/EAPA%20Database/Notices%20of%20Initiation%20%26%20Interim%20Measures/7184%20Diamond%20Tools%20Technology%20LLC%20(Notice%20of%20Initiation%20of%20Investigation).pdf" TargetMode="External"/><Relationship Id="rId29" Type="http://schemas.openxmlformats.org/officeDocument/2006/relationships/hyperlink" Target="file://sa-dc2022/Cases/Customs%20matters/EAPA%20Database/Notices%20of%20Initiation%20%26%20Interim%20Measures/7335%20Allied%20Group%20(Allied)%20(Notice%20of%20Investigation%20and%20Interim%20Measures,%20Nov.%205,%202019).pdf" TargetMode="External"/><Relationship Id="rId255" Type="http://schemas.openxmlformats.org/officeDocument/2006/relationships/hyperlink" Target="Notices%20of%20Determination\7785%20LDL%20Trading%20Company%20(Notice%20of%20Determination%20as%20to%20Evasion,%20Oct.%2030,%202023).pdf" TargetMode="External"/><Relationship Id="rId40" Type="http://schemas.openxmlformats.org/officeDocument/2006/relationships/hyperlink" Target="file://sa-dc2022/Cases/Customs%20matters/EAPA%20Database/Administrative%20Reviews/7257%20Core%20Pipe%20Products,%20Inc.%20(&#8220;Core%20Pipe&#8221;)%20(Final%20Administrative%20Determination,%20February%2026,%202020).pdf" TargetMode="External"/><Relationship Id="rId115" Type="http://schemas.openxmlformats.org/officeDocument/2006/relationships/hyperlink" Target="Notices%20of%20Determination\7819%20Besttn%20Industry%20Inc.%20(Notice%20of%20Determination%20as%20to%20Evasion,%20May%2029,%202024).pdf" TargetMode="External"/><Relationship Id="rId136" Type="http://schemas.openxmlformats.org/officeDocument/2006/relationships/hyperlink" Target="Notices%20of%20Initiation%20&amp;%20Interim%20Measures\7621%20Phoenix%20Metal%20Co.,%20Ltd.%20(Notice%20of%20Initiation%20of%20Investigation%20and%20Interim%20Measures,%20March%2028,%202022).pdf" TargetMode="External"/><Relationship Id="rId157" Type="http://schemas.openxmlformats.org/officeDocument/2006/relationships/hyperlink" Target="Notices%20of%20Initiation%20&amp;%20Interim%20Measures\7801%20Minth%20Mexico%20Coatings%20(Notice%20of%20Inv%20and%20Interim%20Measures,%20May%2030,%202023).pdf" TargetMode="External"/><Relationship Id="rId178" Type="http://schemas.openxmlformats.org/officeDocument/2006/relationships/hyperlink" Target="Notices%20of%20Determination\7785%20LDL%20Trading%20Company%20(Notice%20of%20Determination%20as%20to%20Evasion,%20Oct.%2030,%202023).pdf" TargetMode="External"/><Relationship Id="rId61" Type="http://schemas.openxmlformats.org/officeDocument/2006/relationships/hyperlink" Target="file://sa-dc2022/Cases/Customs%20matters/EAPA%20Database/Notices%20of%20Determination/7311%20Apec%20International%20LLC%20(Apec)%20(Notice%20of%20Determination,%20May%2011,%202020).pdf" TargetMode="External"/><Relationship Id="rId82" Type="http://schemas.openxmlformats.org/officeDocument/2006/relationships/hyperlink" Target="Notices%20of%20Initiation%20&amp;%20Interim%20Measures\8224%20Daffodil%20Pharmachem%20Private%20Limited%20(Notice%20of%20Initiation%20of%20Investigation%20and%20Interim%20Measures,%20December%2018,%202025).pdf" TargetMode="External"/><Relationship Id="rId199" Type="http://schemas.openxmlformats.org/officeDocument/2006/relationships/hyperlink" Target="Notices%20of%20Determination\7809%20LTT%20International%20Trading%20Co.%20(Notice%20of%20Determination%20as%20to%20Evasion,%20September%2012,%202023).pdf" TargetMode="External"/><Relationship Id="rId203" Type="http://schemas.openxmlformats.org/officeDocument/2006/relationships/hyperlink" Target="Notices%20of%20Initiation%20&amp;%20Interim%20Measures\8143%20Commercial%20Steel%20Products%20LLC%20and%20JOL%20Tubular,%20Inc.%20(Notice%20of%20Initiation%20of%20Investigation%20and%20Interim%20Measures,%20May%2013,%202025).pdf" TargetMode="External"/><Relationship Id="rId19" Type="http://schemas.openxmlformats.org/officeDocument/2006/relationships/hyperlink" Target="file://sa-dc2022/Cases/Customs%20matters/EAPA%20Database/Notices%20of%20Initiation%20%26%20Interim%20Measures/7270%20Salvi%20Chemical%20Industries%20Ltd.%20(&#8220;Salvi&#8221;)%20(Notice%20of%20Investigation%20and%20Interim%20Measures,%20Oct.%2016,%202018).pdf" TargetMode="External"/><Relationship Id="rId224" Type="http://schemas.openxmlformats.org/officeDocument/2006/relationships/hyperlink" Target="Notices%20of%20Initiation%20&amp;%20Interim%20Measures\7579%20A&amp;A%20Pharmachem%20Inc.%20USA%20(Notice%20of%20Investigation%20and%20Interim%20Measures,%20May%2027,%202021).pdf" TargetMode="External"/><Relationship Id="rId245" Type="http://schemas.openxmlformats.org/officeDocument/2006/relationships/hyperlink" Target="Administrative%20Reviews\7603%20BGI%20Group,%20Inc.%20(Final%20Administrative%20Determination,%20June%206,%202022).pdf" TargetMode="External"/><Relationship Id="rId30" Type="http://schemas.openxmlformats.org/officeDocument/2006/relationships/hyperlink" Target="file://sa-dc2022/Cases/Customs%20matters/EAPA%20Database/Covered%20Merchandise%20Referrals/7335%20Covered%20Merchandise%20Referral,%20Sep.%209,%202022.pdf" TargetMode="External"/><Relationship Id="rId105" Type="http://schemas.openxmlformats.org/officeDocument/2006/relationships/hyperlink" Target="Administrative%20Reviews\7890%20Centric%20Pipe%20LLC,%20Energy%20Pipe%20&amp;%20Equipment,%20Kana%20Energy%20Services%20Inc.,%20LE%20Commodities,%20LLC,%20Trek%20Metals%20Inc.,%20and%20TSPGA%20LLC%20(Final%20Administrative%20Determination,%20July%202,%202025).pdf" TargetMode="External"/><Relationship Id="rId126" Type="http://schemas.openxmlformats.org/officeDocument/2006/relationships/hyperlink" Target="Notices%20of%20Determination\7889%20JBS%20Trading%20LLC%20(Notice%20of%20Determination%20as%20to%20Evasion,%20March%2026,%202025).pdf" TargetMode="External"/><Relationship Id="rId147" Type="http://schemas.openxmlformats.org/officeDocument/2006/relationships/hyperlink" Target="Notices%20of%20Initiation%20&amp;%20Interim%20Measures\7740%20LE%20North%20America%20JV,%20LLC%20(Notice%20of%20Inv.%20and%20Interim%20Measures,%20Nov.%2020,%202022).pdf" TargetMode="External"/><Relationship Id="rId168" Type="http://schemas.openxmlformats.org/officeDocument/2006/relationships/hyperlink" Target="Notices%20of%20Determination\7705%20Scioto%20Valley%20Woodworking,%20Inc.%20(Notice%20of%20Determination%20as%20to%20Evasion,%20January%2031,%202023).pdf" TargetMode="External"/><Relationship Id="rId51" Type="http://schemas.openxmlformats.org/officeDocument/2006/relationships/hyperlink" Target="file://sa-dc2022/Cases/Customs%20matters/EAPA%20Database/Notices%20of%20Determination/7238%20Dixon%20Ticonderoga%20Company%20(&#8220;Dixon&#8221;)%20(Notice%20of%20Determination%20as%20to%20Evasion,%20May%206,%202019).pdf" TargetMode="External"/><Relationship Id="rId72" Type="http://schemas.openxmlformats.org/officeDocument/2006/relationships/hyperlink" Target="Notices%20of%20Initiation%20&amp;%20Interim%20Measures\8135%20USASourcing%20Inc.%20and%20Tradewide%20Inc.%20(Notice%20of%20Initiation%20of%20Investigation%20and%20Interim%20Measures,%20May%2012,%202025).pdf" TargetMode="External"/><Relationship Id="rId93" Type="http://schemas.openxmlformats.org/officeDocument/2006/relationships/hyperlink" Target="Notices%20of%20Initiation%20&amp;%20Interim%20Measures\7902%20Global%20Natural%20Ingredients,%20LLC%20(Notice%20of%20Initiation%20of%20Investigation%20and%20Interim%20Measures,%20June%2017,%202024).pdf" TargetMode="External"/><Relationship Id="rId189" Type="http://schemas.openxmlformats.org/officeDocument/2006/relationships/hyperlink" Target="Administrative%20Reviews\7705%20Scioto%20Valley%20Woodworking,%20Inc.%20%20(Final%20Administrative%20Determination,%20June%2012,%202023).pdf" TargetMode="External"/><Relationship Id="rId3" Type="http://schemas.openxmlformats.org/officeDocument/2006/relationships/hyperlink" Target="file://sa-dc2022/Cases/Customs%20matters/EAPA%20Database/Notices%20of%20Initiation%20%26%20Interim%20Measures/15134%20Wheatland%20Tube%20(Notice%20of%20Non-Initiation%20of%20Inv.).pdf" TargetMode="External"/><Relationship Id="rId214" Type="http://schemas.openxmlformats.org/officeDocument/2006/relationships/hyperlink" Target="Notices%20of%20Determination\7663%20Starille,%20Ltd.,%20et%20al.%20(Notice%20of%20Determination%20as%20to%20Evasion,%20July%2022,%202022).pdf" TargetMode="External"/><Relationship Id="rId235" Type="http://schemas.openxmlformats.org/officeDocument/2006/relationships/hyperlink" Target="Notices%20of%20Determination\7553%20Pacific%20Building%20Material%20Inc.,%20et%20al.%20(Notice%20of%20Determination%20as%20to%20Evasion,%20Sept.%2016,%202021).pdf" TargetMode="External"/><Relationship Id="rId256" Type="http://schemas.openxmlformats.org/officeDocument/2006/relationships/hyperlink" Target="Notices%20of%20Initiation%20&amp;%20Interim%20Measures\7796%20Exquis%20Inc.,%20Lollicup%20USA%20Inc.,%20and%20Sanster%20Corporation%20(Notice%20of%20Inv%20and%20Interim%20Measures,%20May%209,%202023).pdf" TargetMode="External"/><Relationship Id="rId116" Type="http://schemas.openxmlformats.org/officeDocument/2006/relationships/hyperlink" Target="Notices%20of%20Determination\7850%20Mak%20Chemicals,%20Inc.%20(Notice%20of%20Determination%20as%20to%20Evasion,%20October%2022,%202024).pdf" TargetMode="External"/><Relationship Id="rId137" Type="http://schemas.openxmlformats.org/officeDocument/2006/relationships/hyperlink" Target="Notices%20of%20Initiation%20&amp;%20Interim%20Measures\7657%20Various%20Importers%20(Notice%20of%20Initiation%20of%20Investigation%20and%20Interim%20Measures,%20February%208,%202022).pdf" TargetMode="External"/><Relationship Id="rId158" Type="http://schemas.openxmlformats.org/officeDocument/2006/relationships/hyperlink" Target="Notices%20of%20Initiation%20&amp;%20Interim%20Measures\7811%20Suzhou%20Quality%20Import%20and%20Export%20Co.%20(Notice%20of%20Inv%20and%20Interim%20Measures,%20June%2027,%202023).pdf" TargetMode="External"/><Relationship Id="rId20" Type="http://schemas.openxmlformats.org/officeDocument/2006/relationships/hyperlink" Target="file://sa-dc2022/Cases/Customs%20matters/EAPA%20Database/Notices%20of%20Initiation%20%26%20Interim%20Measures/7297%20Allied%20Group%20(&#8220;Allied&#8221;)%20(Notice%20of%20Investigation%20and%20Interim%20Measures,%20Mar.%2021,%202019).pdf" TargetMode="External"/><Relationship Id="rId41" Type="http://schemas.openxmlformats.org/officeDocument/2006/relationships/hyperlink" Target="file://sa-dc2022/Cases/Customs%20matters/EAPA%20Database/Administrative%20Reviews/7297%20Allied%20Group%20(&#8220;Allied&#8221;)%20(Final%20Administrative%20Determination,%20May%2027,%202020).pdf" TargetMode="External"/><Relationship Id="rId62" Type="http://schemas.openxmlformats.org/officeDocument/2006/relationships/hyperlink" Target="file://sa-dc2022/Cases/Customs%20matters/EAPA%20Database/Notices%20of%20Determination/7320%20GEO%20Specialty%20Chemicals,%20Inc.%20(&#8220;GEO&#8221;)%20(Notice%20of%20Determination%20as%20to%20Evasion,%20May%2019,%202020).pdf" TargetMode="External"/><Relationship Id="rId83" Type="http://schemas.openxmlformats.org/officeDocument/2006/relationships/hyperlink" Target="Notices%20of%20Initiation%20&amp;%20Interim%20Measures\7969%20Thompson%20Aluminum%20Casting%20Company,%20Inc%20(Notice%20of%20Initiation%20of%20Investigation%20and%20Interim%20Measures,%20August%2013,%202024).pdf" TargetMode="External"/><Relationship Id="rId179" Type="http://schemas.openxmlformats.org/officeDocument/2006/relationships/hyperlink" Target="Notices%20of%20Determination\7783%20Superior%20Commercial%20Solutions%20LLC%20(Notice%20of%20Determination%20of%20Evasion,%20Aug.%2031,%202023).pdf" TargetMode="External"/><Relationship Id="rId190" Type="http://schemas.openxmlformats.org/officeDocument/2006/relationships/hyperlink" Target="Administrative%20Reviews\7724%20WHP%20Associates%20LLC%20(Final%20Administrative%20Determination,%20September%201,%202023).pdf" TargetMode="External"/><Relationship Id="rId204" Type="http://schemas.openxmlformats.org/officeDocument/2006/relationships/hyperlink" Target="Covered%20Merchandise%20Referrals\8143%20Covered%20Merchanidse%20Referral%2012-2-2025%20(PD).pdf" TargetMode="External"/><Relationship Id="rId225" Type="http://schemas.openxmlformats.org/officeDocument/2006/relationships/hyperlink" Target="Notices%20of%20Initiation%20&amp;%20Interim%20Measures\7354%20Gogo%20International,%20Inc.%20(Gogo)%20(Notice%20of%20Initiation%20of%20Invest.%20of%20Interim%20Measures,%20May%2019,%202021).pdf" TargetMode="External"/><Relationship Id="rId246" Type="http://schemas.openxmlformats.org/officeDocument/2006/relationships/hyperlink" Target="Administrative%20Reviews\7586%20Vivaldi%20Commercial%20LLC%20(Final%20Administrative%20Determination,%20April%2015,%202022).pdf" TargetMode="External"/><Relationship Id="rId106" Type="http://schemas.openxmlformats.org/officeDocument/2006/relationships/hyperlink" Target="Administrative%20Reviews\7796%20Lollicup%20USA%20Inc.%20(Final%20Administrative%20Determination,%20June%2011,%202024).pdf" TargetMode="External"/><Relationship Id="rId127" Type="http://schemas.openxmlformats.org/officeDocument/2006/relationships/hyperlink" Target="Notices%20of%20Determination\7899%20Highland%20USA%20International,%20Inc.%20(Notice%20of%20Determination%20as%20to%20Evasion,%20March%2026,%202025).pdf" TargetMode="External"/><Relationship Id="rId10" Type="http://schemas.openxmlformats.org/officeDocument/2006/relationships/hyperlink" Target="file://sa-dc2022/Cases/Customs%20matters/EAPA%20Database/Notices%20of%20Initiation%20%26%20Interim%20Measures/7204%20American%20Pacific%20Rubber,%20Inc.%20(&#8220;APAC&#8221;)%20(Notice%20of%20Investigation%20and%20Interim%20Measures,%20July%2018,%202017).pdf" TargetMode="External"/><Relationship Id="rId31" Type="http://schemas.openxmlformats.org/officeDocument/2006/relationships/hyperlink" Target="file://sa-dc2022/Cases/Customs%20matters/EAPA%20Database/Notices%20of%20Determination/7335%20Allied%20Group%20(Allied)%20(Notice%20of%20Determination%20as%20to%20Evasion,%20Nov.%206,%202020).pdf" TargetMode="External"/><Relationship Id="rId52" Type="http://schemas.openxmlformats.org/officeDocument/2006/relationships/hyperlink" Target="file://sa-dc2022/Cases/Customs%20matters/EAPA%20Database/Notices%20of%20Determination/7250%20Diamond%20Sawblades%20Manufacturers&#8217;%20Coalition%20(&#8220;DSMC&#8221;)%20(Notice%20of%20Determination%20as%20to%20Evasion,%20Aug.%2010.%202021).pdf" TargetMode="External"/><Relationship Id="rId73" Type="http://schemas.openxmlformats.org/officeDocument/2006/relationships/hyperlink" Target="Notices%20of%20Initiation%20&amp;%20Interim%20Measures\8164%20Various%20Importers%20(Notice%20of%20Initiation%20of%20Investigation%20and%20Interim%20Measures,%20June%2018,%202025).pdf" TargetMode="External"/><Relationship Id="rId94" Type="http://schemas.openxmlformats.org/officeDocument/2006/relationships/hyperlink" Target="Notices%20of%20Initiation%20&amp;%20Interim%20Measures\7890%20Various%20Importers%20(Notice%20of%20Initiation%20of%20Investigation%20and%20Interim%20Measures,%20May%2031,%202024).pdf" TargetMode="External"/><Relationship Id="rId148" Type="http://schemas.openxmlformats.org/officeDocument/2006/relationships/hyperlink" Target="Notices%20of%20Initiation%20&amp;%20Interim%20Measures\7782%20YVC%20USA%20Inc.%20(Notice%20of%20Initiation%20of%20Investigation%20and%20Interim%20Measures,%20Jan.%2019,%202023).pdf" TargetMode="External"/><Relationship Id="rId169" Type="http://schemas.openxmlformats.org/officeDocument/2006/relationships/hyperlink" Target="Notices%20of%20Determination\7724%20WHP%20Associates%20LLC%20(Notice%20of%20Determination%20as%20to%20Evasion,%20May%201,%202023).pdf" TargetMode="External"/><Relationship Id="rId4" Type="http://schemas.openxmlformats.org/officeDocument/2006/relationships/hyperlink" Target="file://sa-dc2022/Cases/Customs%20matters/EAPA%20Database/Notices%20of%20Initiation%20%26%20Interim%20Measures/7189%20Aspects%20Furniture%20International,%20Inc.%20(Notice%20of%20Investigation%20and%20Interim%20Measures).pdf" TargetMode="External"/><Relationship Id="rId180" Type="http://schemas.openxmlformats.org/officeDocument/2006/relationships/hyperlink" Target="Notices%20of%20Determination\7788%20Muller%20Import%20Inc.,%20U.S.%20Castings%20Inc.%20(Notice%20of%20Determination%20as%20to%20Evasion,%20Dec.%2012,%202023).pdf" TargetMode="External"/><Relationship Id="rId215" Type="http://schemas.openxmlformats.org/officeDocument/2006/relationships/hyperlink" Target="Notices%20of%20Initiation%20&amp;%20Interim%20Measures\7618%20CNC%20Associates%20N.Y.,%20Inc.%20dba%20CNC%20Cabinetry%20(Notice%20of%20Initiation%20and%20Interim%20Measures,%20Sept,%209,%202021).pdf" TargetMode="External"/><Relationship Id="rId236" Type="http://schemas.openxmlformats.org/officeDocument/2006/relationships/hyperlink" Target="Notices%20of%20Initiation%20&amp;%20Interim%20Measures\7523%20Amlink%20Sourcing%20Inc.%20(Notice%20of%20Investigation%20and%20Interim%20Measures,%20Jan.%2027,%202021).pdf" TargetMode="External"/><Relationship Id="rId257" Type="http://schemas.openxmlformats.org/officeDocument/2006/relationships/hyperlink" Target="Administrative%20Reviews\7796%20Lollicup%20USA%20Inc.%20(Final%20Administrative%20Determination,%20June%2011,%20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E9CB-5DB7-4AFE-B2BE-F054381F181B}">
  <dimension ref="E5:E10"/>
  <sheetViews>
    <sheetView workbookViewId="0">
      <selection activeCell="M15" sqref="M15"/>
    </sheetView>
  </sheetViews>
  <sheetFormatPr defaultRowHeight="15"/>
  <cols>
    <col min="5" max="5" width="25.5703125" customWidth="1"/>
  </cols>
  <sheetData>
    <row r="5" spans="5:5">
      <c r="E5" s="1" t="s">
        <v>0</v>
      </c>
    </row>
    <row r="6" spans="5:5">
      <c r="E6" t="s">
        <v>1</v>
      </c>
    </row>
    <row r="7" spans="5:5">
      <c r="E7" t="s">
        <v>2</v>
      </c>
    </row>
    <row r="8" spans="5:5">
      <c r="E8" t="s">
        <v>3</v>
      </c>
    </row>
    <row r="9" spans="5:5">
      <c r="E9" t="s">
        <v>4</v>
      </c>
    </row>
    <row r="10" spans="5:5">
      <c r="E10"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D468-1B14-4D0F-9E2B-ED2E4EB69783}">
  <dimension ref="A1:U285"/>
  <sheetViews>
    <sheetView tabSelected="1" zoomScale="90" zoomScaleNormal="90" workbookViewId="0">
      <pane ySplit="1" topLeftCell="A113" activePane="bottomLeft" state="frozen"/>
      <selection pane="bottomLeft"/>
    </sheetView>
  </sheetViews>
  <sheetFormatPr defaultRowHeight="15"/>
  <cols>
    <col min="1" max="1" width="27.5703125" style="3" bestFit="1" customWidth="1"/>
    <col min="2" max="2" width="29.5703125" style="2" customWidth="1"/>
    <col min="3" max="4" width="31.42578125" style="2" bestFit="1" customWidth="1"/>
    <col min="5" max="5" width="18.140625" style="2" bestFit="1" customWidth="1"/>
    <col min="6" max="6" width="23.42578125" style="2" bestFit="1" customWidth="1"/>
    <col min="7" max="7" width="29.7109375" style="2" customWidth="1"/>
    <col min="8" max="8" width="30.7109375" style="2" bestFit="1" customWidth="1"/>
    <col min="9" max="9" width="16.7109375" style="2" bestFit="1" customWidth="1"/>
    <col min="10" max="12" width="20.140625" style="8" bestFit="1" customWidth="1"/>
    <col min="13" max="13" width="20.140625" style="10" bestFit="1" customWidth="1"/>
    <col min="14" max="14" width="30.7109375" style="2" bestFit="1" customWidth="1"/>
    <col min="15" max="15" width="11.42578125" style="2" bestFit="1" customWidth="1"/>
    <col min="16" max="16384" width="9.140625" style="2"/>
  </cols>
  <sheetData>
    <row r="1" spans="1:21" ht="52.5" customHeight="1">
      <c r="A1" s="52" t="s">
        <v>6</v>
      </c>
      <c r="B1" s="52" t="s">
        <v>7</v>
      </c>
      <c r="C1" s="53" t="s">
        <v>8</v>
      </c>
      <c r="D1" s="53" t="s">
        <v>9</v>
      </c>
      <c r="E1" s="53" t="s">
        <v>10</v>
      </c>
      <c r="F1" s="53" t="s">
        <v>11</v>
      </c>
      <c r="G1" s="53" t="s">
        <v>12</v>
      </c>
      <c r="H1" s="53" t="s">
        <v>13</v>
      </c>
      <c r="I1" s="53" t="s">
        <v>14</v>
      </c>
      <c r="J1" s="53" t="s">
        <v>15</v>
      </c>
      <c r="K1" s="54" t="s">
        <v>16</v>
      </c>
      <c r="L1" s="54" t="s">
        <v>17</v>
      </c>
      <c r="M1" s="54" t="s">
        <v>18</v>
      </c>
      <c r="N1" s="54" t="s">
        <v>19</v>
      </c>
      <c r="O1" s="54" t="s">
        <v>20</v>
      </c>
      <c r="P1" s="55" t="s">
        <v>21</v>
      </c>
    </row>
    <row r="2" spans="1:21" ht="29.25">
      <c r="A2" s="45">
        <v>7184</v>
      </c>
      <c r="B2" s="45"/>
      <c r="C2" s="2" t="s">
        <v>22</v>
      </c>
      <c r="D2" s="2" t="s">
        <v>23</v>
      </c>
      <c r="F2" s="2" t="s">
        <v>3</v>
      </c>
      <c r="G2" s="2" t="s">
        <v>24</v>
      </c>
      <c r="H2" s="2" t="s">
        <v>25</v>
      </c>
      <c r="I2" s="2" t="s">
        <v>26</v>
      </c>
      <c r="J2" s="2"/>
      <c r="K2" s="6">
        <v>42816</v>
      </c>
      <c r="L2" s="4">
        <v>43060</v>
      </c>
      <c r="M2" s="5" t="s">
        <v>27</v>
      </c>
      <c r="N2" s="5"/>
      <c r="O2" s="7"/>
      <c r="P2" s="51">
        <f>COUNTIF($A$2:$A$121,A2)</f>
        <v>1</v>
      </c>
    </row>
    <row r="3" spans="1:21" ht="43.5">
      <c r="A3" s="45">
        <v>7189</v>
      </c>
      <c r="B3" s="45"/>
      <c r="C3" s="2" t="s">
        <v>28</v>
      </c>
      <c r="D3" s="2" t="s">
        <v>29</v>
      </c>
      <c r="F3" s="2" t="s">
        <v>2</v>
      </c>
      <c r="H3" s="2" t="s">
        <v>30</v>
      </c>
      <c r="I3" s="7" t="s">
        <v>31</v>
      </c>
      <c r="J3" s="2"/>
      <c r="K3" s="4">
        <v>42864</v>
      </c>
      <c r="L3" s="5"/>
      <c r="M3" s="4">
        <v>43969</v>
      </c>
      <c r="N3" s="4">
        <v>44098</v>
      </c>
      <c r="O3" s="7"/>
      <c r="P3" s="51">
        <f>COUNTIF($A$2:$A$121,A3)</f>
        <v>1</v>
      </c>
      <c r="U3" s="44"/>
    </row>
    <row r="4" spans="1:21" ht="29.25">
      <c r="A4" s="45">
        <v>7204</v>
      </c>
      <c r="B4" s="45"/>
      <c r="C4" s="2" t="s">
        <v>32</v>
      </c>
      <c r="D4" s="2" t="s">
        <v>33</v>
      </c>
      <c r="F4" s="2" t="s">
        <v>2</v>
      </c>
      <c r="H4" s="2" t="s">
        <v>34</v>
      </c>
      <c r="I4" s="7" t="s">
        <v>35</v>
      </c>
      <c r="J4" s="2"/>
      <c r="K4" s="4">
        <v>42934</v>
      </c>
      <c r="L4" s="5"/>
      <c r="M4" s="4">
        <v>43241</v>
      </c>
      <c r="N4" s="8"/>
      <c r="O4" s="7"/>
      <c r="P4" s="51">
        <f>COUNTIF($A$2:$A$121,A4)</f>
        <v>1</v>
      </c>
    </row>
    <row r="5" spans="1:21" ht="43.5">
      <c r="A5" s="45">
        <v>7205</v>
      </c>
      <c r="B5" s="45"/>
      <c r="C5" s="2" t="s">
        <v>22</v>
      </c>
      <c r="D5" s="2" t="s">
        <v>36</v>
      </c>
      <c r="F5" s="2" t="s">
        <v>2</v>
      </c>
      <c r="H5" s="2" t="s">
        <v>37</v>
      </c>
      <c r="I5" s="7" t="s">
        <v>26</v>
      </c>
      <c r="J5" s="2"/>
      <c r="K5" s="4">
        <v>42934</v>
      </c>
      <c r="L5" s="5"/>
      <c r="M5" s="4">
        <v>43301</v>
      </c>
      <c r="N5" s="8"/>
      <c r="O5" s="7"/>
      <c r="P5" s="51">
        <f>COUNTIF($A$2:$A$121,A5)</f>
        <v>1</v>
      </c>
    </row>
    <row r="6" spans="1:21" ht="29.25">
      <c r="A6" s="45">
        <v>7208</v>
      </c>
      <c r="B6" s="45"/>
      <c r="C6" s="2" t="s">
        <v>38</v>
      </c>
      <c r="D6" s="2" t="s">
        <v>39</v>
      </c>
      <c r="F6" s="2" t="s">
        <v>3</v>
      </c>
      <c r="G6" s="2" t="s">
        <v>40</v>
      </c>
      <c r="H6" s="7" t="s">
        <v>41</v>
      </c>
      <c r="I6" s="2" t="s">
        <v>42</v>
      </c>
      <c r="J6" s="2"/>
      <c r="K6" s="4">
        <v>42975</v>
      </c>
      <c r="L6" s="5"/>
      <c r="M6" s="4">
        <v>43283</v>
      </c>
      <c r="N6" s="8"/>
      <c r="O6" s="7"/>
      <c r="P6" s="51">
        <f>COUNTIF($A$2:$A$121,A6)</f>
        <v>1</v>
      </c>
    </row>
    <row r="7" spans="1:21" ht="57.75">
      <c r="A7" s="45">
        <v>7227</v>
      </c>
      <c r="B7" s="45"/>
      <c r="C7" s="2" t="s">
        <v>43</v>
      </c>
      <c r="D7" s="2" t="s">
        <v>44</v>
      </c>
      <c r="F7" s="2" t="s">
        <v>3</v>
      </c>
      <c r="G7" s="2" t="s">
        <v>45</v>
      </c>
      <c r="H7" s="7" t="s">
        <v>46</v>
      </c>
      <c r="I7" s="7" t="s">
        <v>47</v>
      </c>
      <c r="J7" s="7" t="s">
        <v>48</v>
      </c>
      <c r="K7" s="4">
        <v>43136</v>
      </c>
      <c r="L7" s="5"/>
      <c r="M7" s="4">
        <v>43445</v>
      </c>
      <c r="N7" s="8"/>
      <c r="O7" s="7"/>
      <c r="P7" s="51">
        <f>COUNTIF($A$2:$A$121,A7)</f>
        <v>1</v>
      </c>
    </row>
    <row r="8" spans="1:21" ht="29.25">
      <c r="A8" s="45">
        <v>7232</v>
      </c>
      <c r="B8" s="45"/>
      <c r="C8" s="2" t="s">
        <v>49</v>
      </c>
      <c r="D8" s="2" t="s">
        <v>50</v>
      </c>
      <c r="F8" s="2" t="s">
        <v>2</v>
      </c>
      <c r="H8" s="7" t="s">
        <v>46</v>
      </c>
      <c r="I8" s="7" t="s">
        <v>47</v>
      </c>
      <c r="J8" s="2"/>
      <c r="K8" s="4">
        <v>43139</v>
      </c>
      <c r="L8" s="5"/>
      <c r="M8" s="4">
        <v>43544</v>
      </c>
      <c r="N8" s="8"/>
      <c r="O8" s="7"/>
      <c r="P8" s="51">
        <f>COUNTIF($A$2:$A$121,A8)</f>
        <v>1</v>
      </c>
    </row>
    <row r="9" spans="1:21" ht="29.25">
      <c r="A9" s="45">
        <v>7238</v>
      </c>
      <c r="B9" s="45"/>
      <c r="C9" s="2" t="s">
        <v>51</v>
      </c>
      <c r="D9" s="2" t="s">
        <v>52</v>
      </c>
      <c r="F9" s="2" t="s">
        <v>3</v>
      </c>
      <c r="G9" s="7" t="s">
        <v>53</v>
      </c>
      <c r="H9" s="2" t="s">
        <v>54</v>
      </c>
      <c r="I9" s="2" t="s">
        <v>55</v>
      </c>
      <c r="J9" s="2"/>
      <c r="K9" s="4">
        <v>43186</v>
      </c>
      <c r="L9" s="5"/>
      <c r="M9" s="4">
        <v>43591</v>
      </c>
      <c r="N9" s="8"/>
      <c r="O9" s="7"/>
      <c r="P9" s="51">
        <f>COUNTIF($A$2:$A$121,A9)</f>
        <v>1</v>
      </c>
    </row>
    <row r="10" spans="1:21" ht="43.5">
      <c r="A10" s="45">
        <v>7250</v>
      </c>
      <c r="B10" s="45"/>
      <c r="C10" s="2" t="s">
        <v>56</v>
      </c>
      <c r="D10" s="2" t="s">
        <v>57</v>
      </c>
      <c r="F10" s="2" t="s">
        <v>3</v>
      </c>
      <c r="G10" s="2" t="s">
        <v>24</v>
      </c>
      <c r="H10" s="7" t="s">
        <v>58</v>
      </c>
      <c r="I10" s="7" t="s">
        <v>26</v>
      </c>
      <c r="J10" s="2"/>
      <c r="K10" s="4">
        <v>43306</v>
      </c>
      <c r="L10" s="4">
        <v>43651</v>
      </c>
      <c r="M10" s="4">
        <v>44418</v>
      </c>
      <c r="N10" s="4">
        <v>44550</v>
      </c>
      <c r="O10" s="7" t="s">
        <v>59</v>
      </c>
      <c r="P10" s="51">
        <f>COUNTIF($A$2:$A$121,A10)</f>
        <v>1</v>
      </c>
    </row>
    <row r="11" spans="1:21" ht="29.25">
      <c r="A11" s="45">
        <v>7251</v>
      </c>
      <c r="B11" s="45"/>
      <c r="C11" s="2" t="s">
        <v>60</v>
      </c>
      <c r="D11" s="2" t="s">
        <v>61</v>
      </c>
      <c r="F11" s="2" t="s">
        <v>5</v>
      </c>
      <c r="H11" s="7" t="s">
        <v>46</v>
      </c>
      <c r="I11" s="2" t="s">
        <v>47</v>
      </c>
      <c r="J11" s="2" t="s">
        <v>48</v>
      </c>
      <c r="K11" s="4">
        <v>43322</v>
      </c>
      <c r="L11" s="5"/>
      <c r="M11" s="4">
        <v>43726</v>
      </c>
      <c r="N11" s="4">
        <v>43860</v>
      </c>
      <c r="O11" s="7"/>
      <c r="P11" s="51">
        <f>COUNTIF($A$2:$A$121,A11)</f>
        <v>1</v>
      </c>
    </row>
    <row r="12" spans="1:21" ht="87">
      <c r="A12" s="45">
        <v>7252</v>
      </c>
      <c r="B12" s="45"/>
      <c r="C12" s="2" t="s">
        <v>62</v>
      </c>
      <c r="D12" s="2" t="s">
        <v>63</v>
      </c>
      <c r="F12" s="2" t="s">
        <v>3</v>
      </c>
      <c r="G12" s="2" t="s">
        <v>64</v>
      </c>
      <c r="H12" s="2" t="s">
        <v>65</v>
      </c>
      <c r="I12" s="2" t="s">
        <v>66</v>
      </c>
      <c r="J12" s="2" t="s">
        <v>67</v>
      </c>
      <c r="K12" s="4">
        <v>43327</v>
      </c>
      <c r="L12" s="9">
        <v>43700</v>
      </c>
      <c r="M12" s="4">
        <v>44589</v>
      </c>
      <c r="N12" s="4">
        <v>44718</v>
      </c>
      <c r="O12" s="7" t="s">
        <v>68</v>
      </c>
      <c r="P12" s="51">
        <f>COUNTIF($A$2:$A$121,A12)</f>
        <v>1</v>
      </c>
    </row>
    <row r="13" spans="1:21" ht="57.75">
      <c r="A13" s="45">
        <v>7257</v>
      </c>
      <c r="B13" s="45"/>
      <c r="C13" s="2" t="s">
        <v>69</v>
      </c>
      <c r="D13" s="2" t="s">
        <v>70</v>
      </c>
      <c r="F13" s="2" t="s">
        <v>3</v>
      </c>
      <c r="G13" s="7" t="s">
        <v>53</v>
      </c>
      <c r="H13" s="2" t="s">
        <v>71</v>
      </c>
      <c r="I13" s="7" t="s">
        <v>72</v>
      </c>
      <c r="J13" s="2" t="s">
        <v>73</v>
      </c>
      <c r="K13" s="4">
        <v>43342</v>
      </c>
      <c r="L13" s="5"/>
      <c r="M13" s="4">
        <v>43747</v>
      </c>
      <c r="N13" s="4">
        <v>43887</v>
      </c>
      <c r="O13" s="7"/>
      <c r="P13" s="51">
        <f>COUNTIF($A$2:$A$121,A13)</f>
        <v>1</v>
      </c>
    </row>
    <row r="14" spans="1:21" ht="29.25">
      <c r="A14" s="45">
        <v>7270</v>
      </c>
      <c r="B14" s="45"/>
      <c r="C14" s="2" t="s">
        <v>74</v>
      </c>
      <c r="D14" s="2" t="s">
        <v>75</v>
      </c>
      <c r="F14" s="2" t="s">
        <v>3</v>
      </c>
      <c r="G14" s="2" t="s">
        <v>24</v>
      </c>
      <c r="H14" s="2" t="s">
        <v>41</v>
      </c>
      <c r="I14" s="7" t="s">
        <v>42</v>
      </c>
      <c r="J14" s="2"/>
      <c r="K14" s="4">
        <v>43389</v>
      </c>
      <c r="L14" s="5"/>
      <c r="M14" s="4">
        <v>43733</v>
      </c>
      <c r="N14" s="8"/>
      <c r="O14" s="7"/>
      <c r="P14" s="51">
        <f>COUNTIF($A$2:$A$121,A14)</f>
        <v>1</v>
      </c>
    </row>
    <row r="15" spans="1:21" ht="144.75">
      <c r="A15" s="45">
        <v>7281</v>
      </c>
      <c r="B15" s="45"/>
      <c r="C15" s="2" t="s">
        <v>76</v>
      </c>
      <c r="D15" s="2" t="s">
        <v>77</v>
      </c>
      <c r="F15" s="2" t="s">
        <v>3</v>
      </c>
      <c r="G15" s="2" t="s">
        <v>78</v>
      </c>
      <c r="H15" s="2" t="s">
        <v>79</v>
      </c>
      <c r="I15" s="2" t="s">
        <v>80</v>
      </c>
      <c r="J15" s="2"/>
      <c r="K15" s="4">
        <v>43592</v>
      </c>
      <c r="L15" s="5"/>
      <c r="M15" s="4">
        <v>43899</v>
      </c>
      <c r="N15" s="4">
        <v>44028</v>
      </c>
      <c r="O15" s="7"/>
      <c r="P15" s="51">
        <f>COUNTIF($A$2:$A$121,A15)</f>
        <v>1</v>
      </c>
    </row>
    <row r="16" spans="1:21" ht="87">
      <c r="A16" s="45">
        <v>7282</v>
      </c>
      <c r="B16" s="45"/>
      <c r="C16" s="2" t="s">
        <v>76</v>
      </c>
      <c r="D16" s="2" t="s">
        <v>81</v>
      </c>
      <c r="F16" s="2" t="s">
        <v>3</v>
      </c>
      <c r="G16" s="2" t="s">
        <v>45</v>
      </c>
      <c r="H16" s="2" t="s">
        <v>79</v>
      </c>
      <c r="I16" s="2" t="s">
        <v>80</v>
      </c>
      <c r="J16" s="2"/>
      <c r="K16" s="4">
        <v>43592</v>
      </c>
      <c r="L16" s="5"/>
      <c r="M16" s="4">
        <v>43899</v>
      </c>
      <c r="N16" s="8"/>
      <c r="O16" s="7"/>
      <c r="P16" s="51">
        <f>COUNTIF($A$2:$A$121,A16)</f>
        <v>1</v>
      </c>
    </row>
    <row r="17" spans="1:16" ht="29.25">
      <c r="A17" s="45">
        <v>7292</v>
      </c>
      <c r="B17" s="45"/>
      <c r="C17" s="2" t="s">
        <v>82</v>
      </c>
      <c r="D17" s="2" t="s">
        <v>83</v>
      </c>
      <c r="F17" s="2" t="s">
        <v>4</v>
      </c>
      <c r="H17" s="2" t="s">
        <v>84</v>
      </c>
      <c r="I17" s="2" t="s">
        <v>85</v>
      </c>
      <c r="J17" s="2"/>
      <c r="K17" s="4">
        <v>43573</v>
      </c>
      <c r="L17" s="5"/>
      <c r="M17" s="4">
        <v>43871</v>
      </c>
      <c r="N17" s="8"/>
      <c r="O17" s="7"/>
      <c r="P17" s="51">
        <f>COUNTIF($A$2:$A$121,A17)</f>
        <v>1</v>
      </c>
    </row>
    <row r="18" spans="1:16" ht="101.25">
      <c r="A18" s="45">
        <v>7297</v>
      </c>
      <c r="B18" s="45"/>
      <c r="C18" s="2" t="s">
        <v>86</v>
      </c>
      <c r="D18" s="2" t="s">
        <v>87</v>
      </c>
      <c r="F18" s="2" t="s">
        <v>3</v>
      </c>
      <c r="G18" s="2" t="s">
        <v>40</v>
      </c>
      <c r="H18" s="2" t="s">
        <v>88</v>
      </c>
      <c r="I18" s="7" t="s">
        <v>89</v>
      </c>
      <c r="J18" s="2"/>
      <c r="K18" s="4">
        <v>43545</v>
      </c>
      <c r="L18" s="5"/>
      <c r="M18" s="4">
        <v>43852</v>
      </c>
      <c r="N18" s="4">
        <v>43978</v>
      </c>
      <c r="O18" s="7" t="s">
        <v>59</v>
      </c>
      <c r="P18" s="51">
        <f>COUNTIF($A$2:$A$121,A18)</f>
        <v>1</v>
      </c>
    </row>
    <row r="19" spans="1:16" ht="29.25">
      <c r="A19" s="45">
        <v>7311</v>
      </c>
      <c r="B19" s="45"/>
      <c r="C19" s="2" t="s">
        <v>90</v>
      </c>
      <c r="D19" s="2" t="s">
        <v>91</v>
      </c>
      <c r="F19" s="2" t="s">
        <v>3</v>
      </c>
      <c r="G19" s="2" t="s">
        <v>64</v>
      </c>
      <c r="H19" s="2" t="s">
        <v>92</v>
      </c>
      <c r="I19" s="2" t="s">
        <v>66</v>
      </c>
      <c r="J19" s="2" t="s">
        <v>67</v>
      </c>
      <c r="K19" s="4">
        <v>43655</v>
      </c>
      <c r="L19" s="5"/>
      <c r="M19" s="4">
        <v>43962</v>
      </c>
      <c r="N19" s="4">
        <v>44091</v>
      </c>
      <c r="O19" s="7"/>
      <c r="P19" s="51">
        <f>COUNTIF($A$2:$A$121,A19)</f>
        <v>1</v>
      </c>
    </row>
    <row r="20" spans="1:16" ht="29.25">
      <c r="A20" s="45">
        <v>7320</v>
      </c>
      <c r="B20" s="45"/>
      <c r="C20" s="2" t="s">
        <v>93</v>
      </c>
      <c r="D20" s="2" t="s">
        <v>94</v>
      </c>
      <c r="F20" s="2" t="s">
        <v>3</v>
      </c>
      <c r="G20" s="2" t="s">
        <v>78</v>
      </c>
      <c r="H20" s="2" t="s">
        <v>41</v>
      </c>
      <c r="I20" s="2" t="s">
        <v>42</v>
      </c>
      <c r="J20" s="2" t="s">
        <v>95</v>
      </c>
      <c r="K20" s="4">
        <v>43663</v>
      </c>
      <c r="L20" s="5"/>
      <c r="M20" s="4">
        <v>43970</v>
      </c>
      <c r="N20" s="8"/>
      <c r="O20" s="7"/>
      <c r="P20" s="51">
        <f>COUNTIF($A$2:$A$121,A20)</f>
        <v>1</v>
      </c>
    </row>
    <row r="21" spans="1:16" ht="72.75">
      <c r="A21" s="45">
        <v>7321</v>
      </c>
      <c r="B21" s="45"/>
      <c r="C21" s="2" t="s">
        <v>96</v>
      </c>
      <c r="D21" s="2" t="s">
        <v>97</v>
      </c>
      <c r="F21" s="2" t="s">
        <v>3</v>
      </c>
      <c r="G21" s="2" t="s">
        <v>40</v>
      </c>
      <c r="H21" s="2" t="s">
        <v>92</v>
      </c>
      <c r="I21" s="2" t="s">
        <v>66</v>
      </c>
      <c r="J21" s="2" t="s">
        <v>67</v>
      </c>
      <c r="K21" s="4">
        <v>43642</v>
      </c>
      <c r="L21" s="5"/>
      <c r="M21" s="4">
        <v>44011</v>
      </c>
      <c r="N21" s="4">
        <v>44140</v>
      </c>
      <c r="O21" s="7"/>
      <c r="P21" s="51">
        <f>COUNTIF($A$2:$A$121,A21)</f>
        <v>1</v>
      </c>
    </row>
    <row r="22" spans="1:16" ht="43.5">
      <c r="A22" s="45">
        <v>7335</v>
      </c>
      <c r="B22" s="45"/>
      <c r="C22" s="2" t="s">
        <v>98</v>
      </c>
      <c r="D22" s="2" t="s">
        <v>99</v>
      </c>
      <c r="F22" s="2" t="s">
        <v>3</v>
      </c>
      <c r="G22" s="2" t="s">
        <v>64</v>
      </c>
      <c r="H22" s="2" t="s">
        <v>100</v>
      </c>
      <c r="I22" s="2" t="s">
        <v>89</v>
      </c>
      <c r="J22" s="2"/>
      <c r="K22" s="4">
        <v>43774</v>
      </c>
      <c r="L22" s="4">
        <v>44810</v>
      </c>
      <c r="M22" s="4">
        <v>44141</v>
      </c>
      <c r="N22" s="4">
        <v>44277</v>
      </c>
      <c r="O22" s="7"/>
      <c r="P22" s="51">
        <f>COUNTIF($A$2:$A$121,A22)</f>
        <v>1</v>
      </c>
    </row>
    <row r="23" spans="1:16" ht="72.75">
      <c r="A23" s="45">
        <v>7348</v>
      </c>
      <c r="B23" s="45"/>
      <c r="C23" s="2" t="s">
        <v>101</v>
      </c>
      <c r="D23" s="2" t="s">
        <v>102</v>
      </c>
      <c r="F23" s="2" t="s">
        <v>3</v>
      </c>
      <c r="G23" s="2" t="s">
        <v>103</v>
      </c>
      <c r="H23" s="2" t="s">
        <v>46</v>
      </c>
      <c r="I23" s="2" t="s">
        <v>47</v>
      </c>
      <c r="J23" s="2" t="s">
        <v>48</v>
      </c>
      <c r="K23" s="4">
        <v>43769</v>
      </c>
      <c r="L23" s="5"/>
      <c r="M23" s="4">
        <v>44137</v>
      </c>
      <c r="N23" s="4">
        <v>44725</v>
      </c>
      <c r="O23" s="7"/>
      <c r="P23" s="51">
        <f>COUNTIF($A$2:$A$121,A23)</f>
        <v>1</v>
      </c>
    </row>
    <row r="24" spans="1:16" ht="29.25">
      <c r="A24" s="45">
        <v>7352</v>
      </c>
      <c r="B24" s="45"/>
      <c r="C24" s="2" t="s">
        <v>104</v>
      </c>
      <c r="D24" s="2" t="s">
        <v>105</v>
      </c>
      <c r="F24" s="2" t="s">
        <v>3</v>
      </c>
      <c r="G24" s="2" t="s">
        <v>24</v>
      </c>
      <c r="H24" s="2" t="s">
        <v>106</v>
      </c>
      <c r="I24" s="2" t="s">
        <v>107</v>
      </c>
      <c r="J24" s="2"/>
      <c r="K24" s="4">
        <v>43728</v>
      </c>
      <c r="L24" s="5"/>
      <c r="M24" s="4">
        <v>44035</v>
      </c>
      <c r="N24" s="5"/>
      <c r="O24" s="7"/>
      <c r="P24" s="51">
        <f>COUNTIF($A$2:$A$121,A24)</f>
        <v>1</v>
      </c>
    </row>
    <row r="25" spans="1:16" ht="29.25">
      <c r="A25" s="46">
        <v>7354</v>
      </c>
      <c r="B25" s="46"/>
      <c r="C25" s="12" t="s">
        <v>108</v>
      </c>
      <c r="D25" s="12" t="s">
        <v>109</v>
      </c>
      <c r="E25" s="12"/>
      <c r="F25" s="13" t="s">
        <v>3</v>
      </c>
      <c r="G25" s="12" t="s">
        <v>110</v>
      </c>
      <c r="H25" s="12" t="s">
        <v>111</v>
      </c>
      <c r="I25" s="13" t="s">
        <v>26</v>
      </c>
      <c r="J25" s="13"/>
      <c r="K25" s="14">
        <v>44335</v>
      </c>
      <c r="L25" s="14">
        <v>43795</v>
      </c>
      <c r="M25" s="14">
        <v>44545</v>
      </c>
      <c r="N25" s="34"/>
      <c r="O25" s="7"/>
      <c r="P25" s="51">
        <f>COUNTIF($A$2:$A$121,A25)</f>
        <v>1</v>
      </c>
    </row>
    <row r="26" spans="1:16">
      <c r="A26" s="46">
        <v>7412</v>
      </c>
      <c r="B26" s="46"/>
      <c r="C26" s="12"/>
      <c r="D26" s="12" t="s">
        <v>112</v>
      </c>
      <c r="E26" s="12"/>
      <c r="F26" s="13" t="s">
        <v>1</v>
      </c>
      <c r="G26" s="12"/>
      <c r="H26" s="12" t="s">
        <v>113</v>
      </c>
      <c r="I26" s="13" t="s">
        <v>114</v>
      </c>
      <c r="J26" s="13" t="s">
        <v>115</v>
      </c>
      <c r="K26" s="31"/>
      <c r="L26" s="14">
        <v>44742</v>
      </c>
      <c r="M26" s="31"/>
      <c r="N26" s="14">
        <v>44299</v>
      </c>
      <c r="O26" s="7"/>
      <c r="P26" s="51">
        <f>COUNTIF($A$2:$A$121,A26)</f>
        <v>1</v>
      </c>
    </row>
    <row r="27" spans="1:16" ht="260.25">
      <c r="A27" s="46">
        <v>7522</v>
      </c>
      <c r="B27" s="46"/>
      <c r="C27" s="12" t="s">
        <v>116</v>
      </c>
      <c r="D27" s="12" t="s">
        <v>117</v>
      </c>
      <c r="E27" s="12"/>
      <c r="F27" s="13" t="s">
        <v>3</v>
      </c>
      <c r="G27" s="12" t="s">
        <v>45</v>
      </c>
      <c r="H27" s="12" t="s">
        <v>118</v>
      </c>
      <c r="I27" s="13" t="s">
        <v>119</v>
      </c>
      <c r="J27" s="13" t="s">
        <v>120</v>
      </c>
      <c r="K27" s="14">
        <v>44256</v>
      </c>
      <c r="L27" s="36"/>
      <c r="M27" s="14">
        <v>44524</v>
      </c>
      <c r="N27" s="34"/>
      <c r="O27" s="7"/>
      <c r="P27" s="51">
        <f>COUNTIF($A$2:$A$121,A27)</f>
        <v>1</v>
      </c>
    </row>
    <row r="28" spans="1:16" ht="29.25">
      <c r="A28" s="46">
        <v>7523</v>
      </c>
      <c r="B28" s="46"/>
      <c r="C28" s="12" t="s">
        <v>121</v>
      </c>
      <c r="D28" s="12" t="s">
        <v>122</v>
      </c>
      <c r="E28" s="12"/>
      <c r="F28" s="13" t="s">
        <v>1</v>
      </c>
      <c r="G28" s="12"/>
      <c r="H28" s="12" t="s">
        <v>123</v>
      </c>
      <c r="I28" s="13" t="s">
        <v>124</v>
      </c>
      <c r="J28" s="13" t="s">
        <v>125</v>
      </c>
      <c r="K28" s="14">
        <v>44223</v>
      </c>
      <c r="L28" s="36"/>
      <c r="M28" s="14">
        <v>44431</v>
      </c>
      <c r="N28" s="14">
        <v>44551</v>
      </c>
      <c r="O28" s="7"/>
      <c r="P28" s="51">
        <f>COUNTIF($A$2:$A$121,A28)</f>
        <v>1</v>
      </c>
    </row>
    <row r="29" spans="1:16" ht="29.25">
      <c r="A29" s="46">
        <v>7550</v>
      </c>
      <c r="B29" s="46"/>
      <c r="C29" s="12" t="s">
        <v>126</v>
      </c>
      <c r="D29" s="12" t="s">
        <v>127</v>
      </c>
      <c r="E29" s="12"/>
      <c r="F29" s="13" t="s">
        <v>3</v>
      </c>
      <c r="G29" s="12" t="s">
        <v>128</v>
      </c>
      <c r="H29" s="12" t="s">
        <v>46</v>
      </c>
      <c r="I29" s="13" t="s">
        <v>129</v>
      </c>
      <c r="J29" s="13" t="s">
        <v>48</v>
      </c>
      <c r="K29" s="42">
        <v>44326</v>
      </c>
      <c r="L29" s="36"/>
      <c r="M29" s="14">
        <v>44596</v>
      </c>
      <c r="N29" s="14">
        <v>44741</v>
      </c>
      <c r="O29" s="7"/>
      <c r="P29" s="51">
        <f>COUNTIF($A$2:$A$121,A29)</f>
        <v>1</v>
      </c>
    </row>
    <row r="30" spans="1:16" ht="87">
      <c r="A30" s="46">
        <v>7553</v>
      </c>
      <c r="B30" s="46"/>
      <c r="C30" s="12" t="s">
        <v>130</v>
      </c>
      <c r="D30" s="12" t="s">
        <v>131</v>
      </c>
      <c r="E30" s="12"/>
      <c r="F30" s="13" t="s">
        <v>3</v>
      </c>
      <c r="G30" s="12" t="s">
        <v>45</v>
      </c>
      <c r="H30" s="12" t="s">
        <v>132</v>
      </c>
      <c r="I30" s="13" t="s">
        <v>133</v>
      </c>
      <c r="J30" s="13" t="s">
        <v>134</v>
      </c>
      <c r="K30" s="14">
        <v>44246</v>
      </c>
      <c r="L30" s="36"/>
      <c r="M30" s="14">
        <v>44455</v>
      </c>
      <c r="N30" s="14">
        <v>44589</v>
      </c>
      <c r="O30" s="7"/>
      <c r="P30" s="51">
        <f>COUNTIF($A$2:$A$121,A30)</f>
        <v>1</v>
      </c>
    </row>
    <row r="31" spans="1:16">
      <c r="A31" s="46">
        <v>7579</v>
      </c>
      <c r="B31" s="46"/>
      <c r="C31" s="12" t="s">
        <v>135</v>
      </c>
      <c r="D31" s="12" t="s">
        <v>136</v>
      </c>
      <c r="E31" s="12"/>
      <c r="F31" s="13" t="s">
        <v>3</v>
      </c>
      <c r="G31" s="12" t="s">
        <v>78</v>
      </c>
      <c r="H31" s="12" t="s">
        <v>79</v>
      </c>
      <c r="I31" s="13" t="s">
        <v>80</v>
      </c>
      <c r="J31" s="13"/>
      <c r="K31" s="14">
        <v>44343</v>
      </c>
      <c r="L31" s="36"/>
      <c r="M31" s="14">
        <v>44553</v>
      </c>
      <c r="N31" s="34"/>
      <c r="O31" s="7"/>
      <c r="P31" s="51">
        <f>COUNTIF($A$2:$A$121,A31)</f>
        <v>1</v>
      </c>
    </row>
    <row r="32" spans="1:16" ht="43.5">
      <c r="A32" s="46">
        <v>7583</v>
      </c>
      <c r="B32" s="46"/>
      <c r="C32" s="12" t="s">
        <v>130</v>
      </c>
      <c r="D32" s="12" t="s">
        <v>137</v>
      </c>
      <c r="E32" s="12"/>
      <c r="F32" s="13" t="s">
        <v>3</v>
      </c>
      <c r="G32" s="12" t="s">
        <v>45</v>
      </c>
      <c r="H32" s="12" t="s">
        <v>132</v>
      </c>
      <c r="I32" s="13" t="s">
        <v>133</v>
      </c>
      <c r="J32" s="13" t="s">
        <v>134</v>
      </c>
      <c r="K32" s="14">
        <v>44321</v>
      </c>
      <c r="L32" s="36"/>
      <c r="M32" s="14">
        <v>44592</v>
      </c>
      <c r="N32" s="14">
        <v>44712</v>
      </c>
      <c r="O32" s="7"/>
      <c r="P32" s="51">
        <f>COUNTIF($A$2:$A$121,A32)</f>
        <v>1</v>
      </c>
    </row>
    <row r="33" spans="1:16" ht="43.5">
      <c r="A33" s="46">
        <v>7586</v>
      </c>
      <c r="B33" s="46"/>
      <c r="C33" s="12" t="s">
        <v>116</v>
      </c>
      <c r="D33" s="12" t="s">
        <v>138</v>
      </c>
      <c r="E33" s="12"/>
      <c r="F33" s="13" t="s">
        <v>1</v>
      </c>
      <c r="G33" s="12"/>
      <c r="H33" s="12" t="s">
        <v>139</v>
      </c>
      <c r="I33" s="13" t="s">
        <v>119</v>
      </c>
      <c r="J33" s="13" t="s">
        <v>120</v>
      </c>
      <c r="K33" s="14">
        <v>44326</v>
      </c>
      <c r="L33" s="36"/>
      <c r="M33" s="14">
        <v>44536</v>
      </c>
      <c r="N33" s="14">
        <v>44666</v>
      </c>
      <c r="O33" s="7"/>
      <c r="P33" s="51">
        <f>COUNTIF($A$2:$A$121,A33)</f>
        <v>1</v>
      </c>
    </row>
    <row r="34" spans="1:16" ht="43.5">
      <c r="A34" s="46">
        <v>7603</v>
      </c>
      <c r="B34" s="46"/>
      <c r="C34" s="12" t="s">
        <v>140</v>
      </c>
      <c r="D34" s="12" t="s">
        <v>141</v>
      </c>
      <c r="E34" s="12"/>
      <c r="F34" s="13" t="s">
        <v>3</v>
      </c>
      <c r="G34" s="12" t="s">
        <v>64</v>
      </c>
      <c r="H34" s="12" t="s">
        <v>132</v>
      </c>
      <c r="I34" s="13" t="s">
        <v>133</v>
      </c>
      <c r="J34" s="13" t="s">
        <v>134</v>
      </c>
      <c r="K34" s="14">
        <v>44378</v>
      </c>
      <c r="L34" s="36"/>
      <c r="M34" s="14">
        <v>44588</v>
      </c>
      <c r="N34" s="14">
        <v>44718</v>
      </c>
      <c r="O34" s="7"/>
      <c r="P34" s="51">
        <f>COUNTIF($A$2:$A$121,A34)</f>
        <v>1</v>
      </c>
    </row>
    <row r="35" spans="1:16">
      <c r="A35" s="46">
        <v>7604</v>
      </c>
      <c r="B35" s="46"/>
      <c r="C35" s="12" t="s">
        <v>116</v>
      </c>
      <c r="D35" s="12" t="s">
        <v>142</v>
      </c>
      <c r="E35" s="12"/>
      <c r="F35" s="13"/>
      <c r="G35" s="12"/>
      <c r="H35" s="12" t="s">
        <v>143</v>
      </c>
      <c r="I35" s="13" t="s">
        <v>119</v>
      </c>
      <c r="J35" s="13" t="s">
        <v>144</v>
      </c>
      <c r="K35" s="14">
        <v>44376</v>
      </c>
      <c r="L35" s="43"/>
      <c r="M35" s="14">
        <v>44586</v>
      </c>
      <c r="N35" s="34"/>
      <c r="O35" s="7"/>
      <c r="P35" s="51">
        <f>COUNTIF($A$2:$A$121,A35)</f>
        <v>1</v>
      </c>
    </row>
    <row r="36" spans="1:16" ht="43.5">
      <c r="A36" s="46">
        <v>7607</v>
      </c>
      <c r="B36" s="46"/>
      <c r="C36" s="12" t="s">
        <v>130</v>
      </c>
      <c r="D36" s="12" t="s">
        <v>145</v>
      </c>
      <c r="E36" s="12"/>
      <c r="F36" s="13" t="s">
        <v>3</v>
      </c>
      <c r="G36" s="12" t="s">
        <v>45</v>
      </c>
      <c r="H36" s="12" t="s">
        <v>132</v>
      </c>
      <c r="I36" s="13" t="s">
        <v>146</v>
      </c>
      <c r="J36" s="13" t="s">
        <v>134</v>
      </c>
      <c r="K36" s="14">
        <v>44404</v>
      </c>
      <c r="L36" s="36"/>
      <c r="M36" s="14">
        <v>44615</v>
      </c>
      <c r="N36" s="14">
        <v>44743</v>
      </c>
      <c r="O36" s="7"/>
      <c r="P36" s="51">
        <f>COUNTIF($A$2:$A$121,A36)</f>
        <v>1</v>
      </c>
    </row>
    <row r="37" spans="1:16" ht="57.75">
      <c r="A37" s="46">
        <v>7614</v>
      </c>
      <c r="B37" s="46"/>
      <c r="C37" s="12" t="s">
        <v>147</v>
      </c>
      <c r="D37" s="12" t="s">
        <v>148</v>
      </c>
      <c r="E37" s="12"/>
      <c r="F37" s="11" t="s">
        <v>3</v>
      </c>
      <c r="G37" s="12" t="s">
        <v>45</v>
      </c>
      <c r="H37" s="12" t="s">
        <v>132</v>
      </c>
      <c r="I37" s="13" t="s">
        <v>146</v>
      </c>
      <c r="J37" s="13" t="s">
        <v>134</v>
      </c>
      <c r="K37" s="14">
        <v>44466</v>
      </c>
      <c r="L37" s="36"/>
      <c r="M37" s="22">
        <v>44676</v>
      </c>
      <c r="N37" s="34"/>
      <c r="O37" s="7"/>
      <c r="P37" s="51">
        <f>COUNTIF($A$2:$A$121,A37)</f>
        <v>1</v>
      </c>
    </row>
    <row r="38" spans="1:16" ht="43.5">
      <c r="A38" s="46">
        <v>7618</v>
      </c>
      <c r="B38" s="46"/>
      <c r="C38" s="12" t="s">
        <v>140</v>
      </c>
      <c r="D38" s="12" t="s">
        <v>149</v>
      </c>
      <c r="E38" s="12"/>
      <c r="F38" s="13" t="s">
        <v>3</v>
      </c>
      <c r="G38" s="12" t="s">
        <v>150</v>
      </c>
      <c r="H38" s="12" t="s">
        <v>132</v>
      </c>
      <c r="I38" s="13" t="s">
        <v>146</v>
      </c>
      <c r="J38" s="13" t="s">
        <v>134</v>
      </c>
      <c r="K38" s="14">
        <v>44448</v>
      </c>
      <c r="L38" s="36"/>
      <c r="M38" s="14">
        <v>44719</v>
      </c>
      <c r="N38" s="14">
        <v>44855</v>
      </c>
      <c r="O38" s="7"/>
      <c r="P38" s="51">
        <f>COUNTIF($A$2:$A$121,A38)</f>
        <v>1</v>
      </c>
    </row>
    <row r="39" spans="1:16">
      <c r="A39" s="46">
        <v>7621</v>
      </c>
      <c r="B39" s="46"/>
      <c r="C39" s="12" t="s">
        <v>151</v>
      </c>
      <c r="D39" s="38" t="s">
        <v>152</v>
      </c>
      <c r="E39" s="38"/>
      <c r="F39" s="13" t="s">
        <v>3</v>
      </c>
      <c r="G39" s="12" t="s">
        <v>40</v>
      </c>
      <c r="H39" s="13" t="s">
        <v>153</v>
      </c>
      <c r="I39" s="13" t="s">
        <v>154</v>
      </c>
      <c r="J39" s="13" t="s">
        <v>155</v>
      </c>
      <c r="K39" s="26">
        <v>44648</v>
      </c>
      <c r="L39" s="27"/>
      <c r="M39" s="26">
        <v>44810</v>
      </c>
      <c r="N39" s="14">
        <v>44944</v>
      </c>
      <c r="O39" s="7"/>
      <c r="P39" s="51">
        <f>COUNTIF($A$2:$A$121,A39)</f>
        <v>2</v>
      </c>
    </row>
    <row r="40" spans="1:16" ht="43.5">
      <c r="A40" s="46">
        <v>7621</v>
      </c>
      <c r="B40" s="46"/>
      <c r="C40" s="17" t="s">
        <v>156</v>
      </c>
      <c r="D40" s="17" t="s">
        <v>157</v>
      </c>
      <c r="E40" s="17"/>
      <c r="F40" s="11" t="s">
        <v>3</v>
      </c>
      <c r="G40" s="17" t="s">
        <v>40</v>
      </c>
      <c r="H40" s="12" t="s">
        <v>158</v>
      </c>
      <c r="I40" s="13" t="s">
        <v>154</v>
      </c>
      <c r="J40" s="13" t="s">
        <v>155</v>
      </c>
      <c r="K40" s="14">
        <v>44539</v>
      </c>
      <c r="L40" s="36"/>
      <c r="M40" s="14">
        <v>44810</v>
      </c>
      <c r="N40" s="14">
        <v>44944</v>
      </c>
      <c r="O40" s="7"/>
      <c r="P40" s="51">
        <f>COUNTIF($A$2:$A$121,A40)</f>
        <v>2</v>
      </c>
    </row>
    <row r="41" spans="1:16">
      <c r="A41" s="46">
        <v>7624</v>
      </c>
      <c r="B41" s="46"/>
      <c r="C41" s="17" t="s">
        <v>156</v>
      </c>
      <c r="D41" s="12" t="s">
        <v>159</v>
      </c>
      <c r="E41" s="12"/>
      <c r="F41" s="11" t="s">
        <v>3</v>
      </c>
      <c r="G41" s="17" t="s">
        <v>40</v>
      </c>
      <c r="H41" s="17" t="s">
        <v>160</v>
      </c>
      <c r="I41" s="11" t="s">
        <v>161</v>
      </c>
      <c r="J41" s="11" t="s">
        <v>162</v>
      </c>
      <c r="K41" s="22">
        <v>44539</v>
      </c>
      <c r="L41" s="36"/>
      <c r="M41" s="22">
        <v>44750</v>
      </c>
      <c r="N41" s="34"/>
      <c r="O41" s="7"/>
      <c r="P41" s="51">
        <f>COUNTIF($A$2:$A$121,A41)</f>
        <v>1</v>
      </c>
    </row>
    <row r="42" spans="1:16" ht="72.75">
      <c r="A42" s="46">
        <v>7647</v>
      </c>
      <c r="B42" s="46"/>
      <c r="C42" s="12" t="s">
        <v>163</v>
      </c>
      <c r="D42" s="12" t="s">
        <v>164</v>
      </c>
      <c r="E42" s="12"/>
      <c r="F42" s="13" t="s">
        <v>3</v>
      </c>
      <c r="G42" s="12" t="s">
        <v>150</v>
      </c>
      <c r="H42" s="12" t="s">
        <v>41</v>
      </c>
      <c r="I42" s="13" t="s">
        <v>42</v>
      </c>
      <c r="J42" s="13" t="s">
        <v>95</v>
      </c>
      <c r="K42" s="14">
        <v>44495</v>
      </c>
      <c r="L42" s="36"/>
      <c r="M42" s="14">
        <v>44764</v>
      </c>
      <c r="N42" s="14">
        <v>44895</v>
      </c>
      <c r="O42" s="7"/>
      <c r="P42" s="51">
        <f>COUNTIF($A$2:$A$121,A42)</f>
        <v>1</v>
      </c>
    </row>
    <row r="43" spans="1:16" ht="43.5">
      <c r="A43" s="46">
        <v>7657</v>
      </c>
      <c r="B43" s="46"/>
      <c r="C43" s="12" t="s">
        <v>165</v>
      </c>
      <c r="D43" s="12" t="s">
        <v>166</v>
      </c>
      <c r="E43" s="12"/>
      <c r="F43" s="13" t="s">
        <v>3</v>
      </c>
      <c r="G43" s="12" t="s">
        <v>45</v>
      </c>
      <c r="H43" s="12" t="s">
        <v>139</v>
      </c>
      <c r="I43" s="13" t="s">
        <v>167</v>
      </c>
      <c r="J43" s="13" t="s">
        <v>120</v>
      </c>
      <c r="K43" s="26">
        <v>44600</v>
      </c>
      <c r="L43" s="27"/>
      <c r="M43" s="26">
        <v>44872</v>
      </c>
      <c r="N43" s="14">
        <v>45006</v>
      </c>
      <c r="O43" s="7"/>
      <c r="P43" s="51">
        <f>COUNTIF($A$2:$A$121,A43)</f>
        <v>1</v>
      </c>
    </row>
    <row r="44" spans="1:16" ht="72.75">
      <c r="A44" s="46">
        <v>7663</v>
      </c>
      <c r="B44" s="46"/>
      <c r="C44" s="12" t="s">
        <v>163</v>
      </c>
      <c r="D44" s="12" t="s">
        <v>164</v>
      </c>
      <c r="E44" s="12"/>
      <c r="F44" s="13" t="s">
        <v>3</v>
      </c>
      <c r="G44" s="38" t="s">
        <v>150</v>
      </c>
      <c r="H44" s="12" t="s">
        <v>41</v>
      </c>
      <c r="I44" s="13" t="s">
        <v>168</v>
      </c>
      <c r="J44" s="13"/>
      <c r="K44" s="14">
        <v>44495</v>
      </c>
      <c r="L44" s="36"/>
      <c r="M44" s="14">
        <v>44764</v>
      </c>
      <c r="N44" s="34"/>
      <c r="O44" s="7"/>
      <c r="P44" s="51">
        <f>COUNTIF($A$2:$A$121,A44)</f>
        <v>1</v>
      </c>
    </row>
    <row r="45" spans="1:16" ht="29.25">
      <c r="A45" s="46">
        <v>7673</v>
      </c>
      <c r="B45" s="46"/>
      <c r="C45" s="12" t="s">
        <v>140</v>
      </c>
      <c r="D45" s="12" t="s">
        <v>169</v>
      </c>
      <c r="E45" s="12"/>
      <c r="F45" s="13" t="s">
        <v>1</v>
      </c>
      <c r="G45" s="12" t="s">
        <v>45</v>
      </c>
      <c r="H45" s="12" t="s">
        <v>170</v>
      </c>
      <c r="I45" s="13" t="s">
        <v>146</v>
      </c>
      <c r="J45" s="13" t="s">
        <v>134</v>
      </c>
      <c r="K45" s="26">
        <v>44630</v>
      </c>
      <c r="L45" s="27"/>
      <c r="M45" s="26">
        <v>44840</v>
      </c>
      <c r="N45" s="14">
        <v>44974</v>
      </c>
      <c r="O45" s="7"/>
      <c r="P45" s="51">
        <f>COUNTIF($A$2:$A$121,A45)</f>
        <v>1</v>
      </c>
    </row>
    <row r="46" spans="1:16">
      <c r="A46" s="46">
        <v>7675</v>
      </c>
      <c r="B46" s="46"/>
      <c r="C46" s="12" t="s">
        <v>171</v>
      </c>
      <c r="D46" s="12" t="s">
        <v>172</v>
      </c>
      <c r="E46" s="12"/>
      <c r="F46" s="13" t="s">
        <v>2</v>
      </c>
      <c r="G46" s="12"/>
      <c r="H46" s="12"/>
      <c r="I46" s="13" t="s">
        <v>173</v>
      </c>
      <c r="J46" s="13" t="s">
        <v>174</v>
      </c>
      <c r="K46" s="26">
        <v>44648</v>
      </c>
      <c r="L46" s="27"/>
      <c r="M46" s="26">
        <v>44922</v>
      </c>
      <c r="N46" s="27"/>
      <c r="O46" s="7"/>
      <c r="P46" s="51">
        <f>COUNTIF($A$2:$A$121,A46)</f>
        <v>1</v>
      </c>
    </row>
    <row r="47" spans="1:16">
      <c r="A47" s="46">
        <v>7699</v>
      </c>
      <c r="B47" s="46"/>
      <c r="C47" s="12" t="s">
        <v>175</v>
      </c>
      <c r="D47" s="12" t="s">
        <v>176</v>
      </c>
      <c r="E47" s="12"/>
      <c r="F47" s="13" t="s">
        <v>3</v>
      </c>
      <c r="G47" s="12" t="s">
        <v>177</v>
      </c>
      <c r="H47" s="12" t="s">
        <v>178</v>
      </c>
      <c r="I47" s="13" t="s">
        <v>179</v>
      </c>
      <c r="J47" s="13" t="s">
        <v>180</v>
      </c>
      <c r="K47" s="26">
        <v>44705</v>
      </c>
      <c r="L47" s="27"/>
      <c r="M47" s="26">
        <v>44915</v>
      </c>
      <c r="N47" s="26">
        <v>45047</v>
      </c>
      <c r="O47" s="7"/>
      <c r="P47" s="51">
        <f>COUNTIF($A$2:$A$121,A47)</f>
        <v>1</v>
      </c>
    </row>
    <row r="48" spans="1:16" ht="29.25">
      <c r="A48" s="46">
        <v>7705</v>
      </c>
      <c r="B48" s="46"/>
      <c r="C48" s="28" t="s">
        <v>181</v>
      </c>
      <c r="D48" s="12" t="s">
        <v>182</v>
      </c>
      <c r="E48" s="12"/>
      <c r="F48" s="13" t="s">
        <v>3</v>
      </c>
      <c r="G48" s="12" t="s">
        <v>45</v>
      </c>
      <c r="H48" s="12" t="s">
        <v>170</v>
      </c>
      <c r="I48" s="13" t="s">
        <v>146</v>
      </c>
      <c r="J48" s="19" t="s">
        <v>134</v>
      </c>
      <c r="K48" s="26">
        <v>44748</v>
      </c>
      <c r="L48" s="27"/>
      <c r="M48" s="26">
        <v>44957</v>
      </c>
      <c r="N48" s="26">
        <v>45089</v>
      </c>
      <c r="O48" s="7"/>
      <c r="P48" s="51">
        <f>COUNTIF($A$2:$A$121,A48)</f>
        <v>1</v>
      </c>
    </row>
    <row r="49" spans="1:16">
      <c r="A49" s="46">
        <v>7711</v>
      </c>
      <c r="B49" s="46"/>
      <c r="C49" s="17" t="s">
        <v>183</v>
      </c>
      <c r="D49" s="17" t="s">
        <v>184</v>
      </c>
      <c r="E49" s="17"/>
      <c r="F49" s="11" t="s">
        <v>2</v>
      </c>
      <c r="G49" s="17" t="s">
        <v>64</v>
      </c>
      <c r="H49" s="12" t="s">
        <v>185</v>
      </c>
      <c r="I49" s="13" t="s">
        <v>186</v>
      </c>
      <c r="J49" s="13" t="s">
        <v>187</v>
      </c>
      <c r="K49" s="26">
        <v>44861</v>
      </c>
      <c r="L49" s="27"/>
      <c r="M49" s="30">
        <v>45069</v>
      </c>
      <c r="N49" s="26">
        <v>45197</v>
      </c>
      <c r="O49" s="7"/>
      <c r="P49" s="51">
        <f>COUNTIF($A$2:$A$121,A49)</f>
        <v>1</v>
      </c>
    </row>
    <row r="50" spans="1:16">
      <c r="A50" s="46">
        <v>7718</v>
      </c>
      <c r="B50" s="46"/>
      <c r="C50" s="17" t="s">
        <v>188</v>
      </c>
      <c r="D50" s="17" t="s">
        <v>189</v>
      </c>
      <c r="E50" s="17"/>
      <c r="F50" s="11" t="s">
        <v>2</v>
      </c>
      <c r="G50" s="39"/>
      <c r="H50" s="17" t="s">
        <v>190</v>
      </c>
      <c r="I50" s="11" t="s">
        <v>31</v>
      </c>
      <c r="J50" s="11"/>
      <c r="K50" s="30">
        <v>44858</v>
      </c>
      <c r="L50" s="27"/>
      <c r="M50" s="30">
        <v>45128</v>
      </c>
      <c r="N50" s="30">
        <v>45259</v>
      </c>
      <c r="O50" s="7"/>
      <c r="P50" s="51">
        <f>COUNTIF($A$2:$A$121,A50)</f>
        <v>1</v>
      </c>
    </row>
    <row r="51" spans="1:16">
      <c r="A51" s="46">
        <v>7722</v>
      </c>
      <c r="B51" s="46"/>
      <c r="C51" s="12" t="s">
        <v>165</v>
      </c>
      <c r="D51" s="12" t="s">
        <v>191</v>
      </c>
      <c r="E51" s="12"/>
      <c r="F51" s="13" t="s">
        <v>2</v>
      </c>
      <c r="G51" s="12"/>
      <c r="H51" s="12" t="s">
        <v>139</v>
      </c>
      <c r="I51" s="13" t="s">
        <v>167</v>
      </c>
      <c r="J51" s="13" t="s">
        <v>120</v>
      </c>
      <c r="K51" s="14">
        <v>44882</v>
      </c>
      <c r="L51" s="27"/>
      <c r="M51" s="14">
        <v>45091</v>
      </c>
      <c r="N51" s="14">
        <v>45222</v>
      </c>
      <c r="O51" s="7"/>
      <c r="P51" s="51">
        <f>COUNTIF($A$2:$A$121,A51)</f>
        <v>1</v>
      </c>
    </row>
    <row r="52" spans="1:16" ht="29.25">
      <c r="A52" s="46">
        <v>7724</v>
      </c>
      <c r="B52" s="46"/>
      <c r="C52" s="12" t="s">
        <v>121</v>
      </c>
      <c r="D52" s="12" t="s">
        <v>192</v>
      </c>
      <c r="E52" s="12"/>
      <c r="F52" s="13" t="s">
        <v>3</v>
      </c>
      <c r="G52" s="12" t="s">
        <v>45</v>
      </c>
      <c r="H52" s="29" t="s">
        <v>193</v>
      </c>
      <c r="I52" s="29" t="s">
        <v>194</v>
      </c>
      <c r="J52" s="29" t="s">
        <v>195</v>
      </c>
      <c r="K52" s="26">
        <v>44837</v>
      </c>
      <c r="L52" s="27"/>
      <c r="M52" s="26">
        <v>45047</v>
      </c>
      <c r="N52" s="26">
        <v>45170</v>
      </c>
      <c r="O52" s="7"/>
      <c r="P52" s="51">
        <f>COUNTIF($A$2:$A$121,A52)</f>
        <v>1</v>
      </c>
    </row>
    <row r="53" spans="1:16" ht="29.25">
      <c r="A53" s="46">
        <v>7730</v>
      </c>
      <c r="B53" s="46"/>
      <c r="C53" s="12" t="s">
        <v>196</v>
      </c>
      <c r="D53" s="12" t="s">
        <v>197</v>
      </c>
      <c r="E53" s="12"/>
      <c r="F53" s="13" t="s">
        <v>2</v>
      </c>
      <c r="G53" s="12"/>
      <c r="H53" s="12" t="s">
        <v>198</v>
      </c>
      <c r="I53" s="13" t="s">
        <v>199</v>
      </c>
      <c r="J53" s="13" t="s">
        <v>200</v>
      </c>
      <c r="K53" s="26">
        <v>44860</v>
      </c>
      <c r="L53" s="27"/>
      <c r="M53" s="26">
        <v>45128</v>
      </c>
      <c r="N53" s="27"/>
      <c r="O53" s="7"/>
      <c r="P53" s="51">
        <f>COUNTIF($A$2:$A$121,A53)</f>
        <v>1</v>
      </c>
    </row>
    <row r="54" spans="1:16" ht="29.25">
      <c r="A54" s="46">
        <v>7734</v>
      </c>
      <c r="B54" s="46"/>
      <c r="C54" s="12" t="s">
        <v>201</v>
      </c>
      <c r="D54" s="12" t="s">
        <v>202</v>
      </c>
      <c r="E54" s="12"/>
      <c r="F54" s="13" t="s">
        <v>1</v>
      </c>
      <c r="G54" s="12"/>
      <c r="H54" s="12" t="s">
        <v>46</v>
      </c>
      <c r="I54" s="13" t="s">
        <v>47</v>
      </c>
      <c r="J54" s="13" t="s">
        <v>48</v>
      </c>
      <c r="K54" s="14">
        <v>44950</v>
      </c>
      <c r="L54" s="27"/>
      <c r="M54" s="14">
        <v>45159</v>
      </c>
      <c r="N54" s="31"/>
      <c r="O54" s="7"/>
      <c r="P54" s="51">
        <f>COUNTIF($A$2:$A$121,A54)</f>
        <v>1</v>
      </c>
    </row>
    <row r="55" spans="1:16" ht="29.25">
      <c r="A55" s="46">
        <v>7737</v>
      </c>
      <c r="B55" s="46"/>
      <c r="C55" s="12" t="s">
        <v>121</v>
      </c>
      <c r="D55" s="12" t="s">
        <v>203</v>
      </c>
      <c r="E55" s="12"/>
      <c r="F55" s="13" t="s">
        <v>3</v>
      </c>
      <c r="G55" s="12" t="s">
        <v>204</v>
      </c>
      <c r="H55" s="12" t="s">
        <v>205</v>
      </c>
      <c r="I55" s="13" t="s">
        <v>206</v>
      </c>
      <c r="J55" s="13"/>
      <c r="K55" s="26">
        <v>44868</v>
      </c>
      <c r="L55" s="27"/>
      <c r="M55" s="26">
        <v>45058</v>
      </c>
      <c r="N55" s="27"/>
      <c r="O55" s="7"/>
      <c r="P55" s="51">
        <f>COUNTIF($A$2:$A$121,A55)</f>
        <v>1</v>
      </c>
    </row>
    <row r="56" spans="1:16">
      <c r="A56" s="46">
        <v>7740</v>
      </c>
      <c r="B56" s="46"/>
      <c r="C56" s="12" t="s">
        <v>165</v>
      </c>
      <c r="D56" s="12" t="s">
        <v>207</v>
      </c>
      <c r="E56" s="12"/>
      <c r="F56" s="13" t="s">
        <v>3</v>
      </c>
      <c r="G56" s="12" t="s">
        <v>24</v>
      </c>
      <c r="H56" s="12" t="s">
        <v>139</v>
      </c>
      <c r="I56" s="13" t="s">
        <v>167</v>
      </c>
      <c r="J56" s="13" t="s">
        <v>120</v>
      </c>
      <c r="K56" s="14">
        <v>44915</v>
      </c>
      <c r="L56" s="27"/>
      <c r="M56" s="31"/>
      <c r="N56" s="31"/>
      <c r="O56" s="7"/>
      <c r="P56" s="51">
        <f>COUNTIF($A$2:$A$121,A56)</f>
        <v>1</v>
      </c>
    </row>
    <row r="57" spans="1:16" ht="101.25">
      <c r="A57" s="46">
        <v>7745</v>
      </c>
      <c r="B57" s="46"/>
      <c r="C57" s="12" t="s">
        <v>121</v>
      </c>
      <c r="D57" s="12" t="s">
        <v>208</v>
      </c>
      <c r="E57" s="12"/>
      <c r="F57" s="13" t="s">
        <v>3</v>
      </c>
      <c r="G57" s="12" t="s">
        <v>209</v>
      </c>
      <c r="H57" s="12" t="s">
        <v>205</v>
      </c>
      <c r="I57" s="13" t="s">
        <v>206</v>
      </c>
      <c r="J57" s="13"/>
      <c r="K57" s="14">
        <v>44950</v>
      </c>
      <c r="L57" s="27"/>
      <c r="M57" s="14">
        <v>45159</v>
      </c>
      <c r="N57" s="14">
        <v>45282</v>
      </c>
      <c r="O57" s="7"/>
      <c r="P57" s="51">
        <f>COUNTIF($A$2:$A$121,A57)</f>
        <v>1</v>
      </c>
    </row>
    <row r="58" spans="1:16">
      <c r="A58" s="46">
        <v>7782</v>
      </c>
      <c r="B58" s="46"/>
      <c r="C58" s="12" t="s">
        <v>175</v>
      </c>
      <c r="D58" s="12" t="s">
        <v>210</v>
      </c>
      <c r="E58" s="12"/>
      <c r="F58" s="13" t="s">
        <v>3</v>
      </c>
      <c r="G58" s="12" t="s">
        <v>211</v>
      </c>
      <c r="H58" s="12" t="s">
        <v>178</v>
      </c>
      <c r="I58" s="13" t="s">
        <v>179</v>
      </c>
      <c r="J58" s="13" t="s">
        <v>180</v>
      </c>
      <c r="K58" s="14">
        <v>44945</v>
      </c>
      <c r="L58" s="27"/>
      <c r="M58" s="14">
        <v>45154</v>
      </c>
      <c r="N58" s="31"/>
      <c r="O58" s="7"/>
      <c r="P58" s="51">
        <f>COUNTIF($A$2:$A$121,A58)</f>
        <v>1</v>
      </c>
    </row>
    <row r="59" spans="1:16" ht="29.25">
      <c r="A59" s="46">
        <v>7783</v>
      </c>
      <c r="B59" s="46"/>
      <c r="C59" s="12" t="s">
        <v>165</v>
      </c>
      <c r="D59" s="12" t="s">
        <v>212</v>
      </c>
      <c r="E59" s="12"/>
      <c r="F59" s="13" t="s">
        <v>3</v>
      </c>
      <c r="G59" s="12" t="s">
        <v>64</v>
      </c>
      <c r="H59" s="12" t="s">
        <v>139</v>
      </c>
      <c r="I59" s="13" t="s">
        <v>167</v>
      </c>
      <c r="J59" s="13" t="s">
        <v>120</v>
      </c>
      <c r="K59" s="14">
        <v>44959</v>
      </c>
      <c r="L59" s="27"/>
      <c r="M59" s="14">
        <v>45169</v>
      </c>
      <c r="N59" s="14">
        <v>45302</v>
      </c>
      <c r="O59" s="7"/>
      <c r="P59" s="51">
        <f>COUNTIF($A$2:$A$121,A59)</f>
        <v>1</v>
      </c>
    </row>
    <row r="60" spans="1:16" ht="29.25">
      <c r="A60" s="46">
        <v>7788</v>
      </c>
      <c r="B60" s="46"/>
      <c r="C60" s="12" t="s">
        <v>151</v>
      </c>
      <c r="D60" s="12" t="s">
        <v>213</v>
      </c>
      <c r="E60" s="12"/>
      <c r="F60" s="13" t="s">
        <v>3</v>
      </c>
      <c r="G60" s="12" t="s">
        <v>78</v>
      </c>
      <c r="H60" s="12" t="s">
        <v>153</v>
      </c>
      <c r="I60" s="13" t="s">
        <v>214</v>
      </c>
      <c r="J60" s="13" t="s">
        <v>155</v>
      </c>
      <c r="K60" s="14">
        <v>45014</v>
      </c>
      <c r="L60" s="27"/>
      <c r="M60" s="14">
        <v>45282</v>
      </c>
      <c r="N60" s="31"/>
      <c r="O60" s="7"/>
      <c r="P60" s="51">
        <f>COUNTIF($A$2:$A$121,A60)</f>
        <v>1</v>
      </c>
    </row>
    <row r="61" spans="1:16">
      <c r="A61" s="46">
        <v>7794</v>
      </c>
      <c r="B61" s="46"/>
      <c r="C61" s="12" t="s">
        <v>215</v>
      </c>
      <c r="D61" s="12" t="s">
        <v>216</v>
      </c>
      <c r="E61" s="12"/>
      <c r="F61" s="13" t="s">
        <v>3</v>
      </c>
      <c r="G61" s="12" t="s">
        <v>78</v>
      </c>
      <c r="H61" s="12" t="s">
        <v>79</v>
      </c>
      <c r="I61" s="13" t="s">
        <v>80</v>
      </c>
      <c r="J61" s="13"/>
      <c r="K61" s="14">
        <v>45061</v>
      </c>
      <c r="L61" s="27"/>
      <c r="M61" s="31"/>
      <c r="N61" s="31"/>
      <c r="O61" s="7"/>
      <c r="P61" s="51">
        <f>COUNTIF($A$2:$A$121,A61)</f>
        <v>1</v>
      </c>
    </row>
    <row r="62" spans="1:16" ht="29.25">
      <c r="A62" s="46">
        <v>7796</v>
      </c>
      <c r="B62" s="46"/>
      <c r="C62" s="12" t="s">
        <v>121</v>
      </c>
      <c r="D62" s="12" t="s">
        <v>217</v>
      </c>
      <c r="E62" s="12"/>
      <c r="F62" s="13" t="s">
        <v>3</v>
      </c>
      <c r="G62" s="12" t="s">
        <v>218</v>
      </c>
      <c r="H62" s="12" t="s">
        <v>219</v>
      </c>
      <c r="I62" s="13" t="s">
        <v>220</v>
      </c>
      <c r="J62" s="13" t="s">
        <v>195</v>
      </c>
      <c r="K62" s="15" t="s">
        <v>221</v>
      </c>
      <c r="L62" s="15"/>
      <c r="M62" s="15"/>
      <c r="N62" s="14">
        <v>45484</v>
      </c>
      <c r="O62" s="7"/>
      <c r="P62" s="51">
        <f>COUNTIF($A$2:$A$121,A62)</f>
        <v>2</v>
      </c>
    </row>
    <row r="63" spans="1:16" ht="29.25">
      <c r="A63" s="46">
        <v>7801</v>
      </c>
      <c r="B63" s="46"/>
      <c r="C63" s="12" t="s">
        <v>201</v>
      </c>
      <c r="D63" s="38" t="s">
        <v>222</v>
      </c>
      <c r="E63" s="38"/>
      <c r="F63" s="13" t="s">
        <v>3</v>
      </c>
      <c r="G63" s="12" t="s">
        <v>209</v>
      </c>
      <c r="H63" s="12" t="s">
        <v>46</v>
      </c>
      <c r="I63" s="13" t="s">
        <v>47</v>
      </c>
      <c r="J63" s="13" t="s">
        <v>48</v>
      </c>
      <c r="K63" s="14">
        <v>45076</v>
      </c>
      <c r="L63" s="27"/>
      <c r="M63" s="14">
        <v>44254</v>
      </c>
      <c r="N63" s="31"/>
      <c r="O63" s="7"/>
      <c r="P63" s="51">
        <f>COUNTIF($A$2:$A$121,A63)</f>
        <v>1</v>
      </c>
    </row>
    <row r="64" spans="1:16" ht="29.25">
      <c r="A64" s="46">
        <v>7809</v>
      </c>
      <c r="B64" s="46"/>
      <c r="C64" s="12" t="s">
        <v>223</v>
      </c>
      <c r="D64" s="12" t="s">
        <v>224</v>
      </c>
      <c r="E64" s="12"/>
      <c r="F64" s="13" t="s">
        <v>3</v>
      </c>
      <c r="G64" s="12" t="s">
        <v>225</v>
      </c>
      <c r="H64" s="12" t="s">
        <v>139</v>
      </c>
      <c r="I64" s="13" t="s">
        <v>167</v>
      </c>
      <c r="J64" s="13" t="s">
        <v>120</v>
      </c>
      <c r="K64" s="14">
        <v>45063</v>
      </c>
      <c r="L64" s="27"/>
      <c r="M64" s="14">
        <v>45331</v>
      </c>
      <c r="N64" s="14">
        <v>45463</v>
      </c>
      <c r="O64" s="7"/>
      <c r="P64" s="51">
        <f>COUNTIF($A$2:$A$121,A64)</f>
        <v>1</v>
      </c>
    </row>
    <row r="65" spans="1:16" ht="29.25">
      <c r="A65" s="46">
        <v>7810</v>
      </c>
      <c r="B65" s="46"/>
      <c r="C65" s="12" t="s">
        <v>226</v>
      </c>
      <c r="D65" s="12" t="s">
        <v>227</v>
      </c>
      <c r="E65" s="12"/>
      <c r="F65" s="13" t="s">
        <v>3</v>
      </c>
      <c r="G65" s="12" t="s">
        <v>24</v>
      </c>
      <c r="H65" s="12" t="s">
        <v>185</v>
      </c>
      <c r="I65" s="13" t="s">
        <v>186</v>
      </c>
      <c r="J65" s="13" t="s">
        <v>187</v>
      </c>
      <c r="K65" s="14">
        <v>45138</v>
      </c>
      <c r="L65" s="27"/>
      <c r="M65" s="14">
        <v>45407</v>
      </c>
      <c r="N65" s="31"/>
      <c r="O65" s="7"/>
      <c r="P65" s="51">
        <f>COUNTIF($A$2:$A$121,A65)</f>
        <v>1</v>
      </c>
    </row>
    <row r="66" spans="1:16" ht="29.25">
      <c r="A66" s="46">
        <v>7811</v>
      </c>
      <c r="B66" s="46"/>
      <c r="C66" s="12" t="s">
        <v>201</v>
      </c>
      <c r="D66" s="12" t="s">
        <v>228</v>
      </c>
      <c r="E66" s="12"/>
      <c r="F66" s="13" t="s">
        <v>2</v>
      </c>
      <c r="G66" s="12"/>
      <c r="H66" s="12" t="s">
        <v>46</v>
      </c>
      <c r="I66" s="13" t="s">
        <v>47</v>
      </c>
      <c r="J66" s="13" t="s">
        <v>48</v>
      </c>
      <c r="K66" s="14">
        <v>45104</v>
      </c>
      <c r="L66" s="27"/>
      <c r="M66" s="31"/>
      <c r="N66" s="31"/>
      <c r="O66" s="7"/>
      <c r="P66" s="51">
        <f>COUNTIF($A$2:$A$121,A66)</f>
        <v>1</v>
      </c>
    </row>
    <row r="67" spans="1:16" ht="29.25">
      <c r="A67" s="46">
        <v>7813</v>
      </c>
      <c r="B67" s="62"/>
      <c r="C67" s="19" t="s">
        <v>229</v>
      </c>
      <c r="D67" s="12" t="s">
        <v>230</v>
      </c>
      <c r="E67" s="12"/>
      <c r="F67" s="13" t="s">
        <v>3</v>
      </c>
      <c r="G67" s="12" t="s">
        <v>231</v>
      </c>
      <c r="H67" s="12" t="s">
        <v>79</v>
      </c>
      <c r="I67" s="13" t="s">
        <v>80</v>
      </c>
      <c r="J67" s="13"/>
      <c r="K67" s="14">
        <v>45196</v>
      </c>
      <c r="L67" s="27"/>
      <c r="M67" s="42">
        <v>45406</v>
      </c>
      <c r="N67" s="31"/>
      <c r="O67" s="7"/>
      <c r="P67" s="51">
        <f>COUNTIF($A$2:$A$121,A67)</f>
        <v>1</v>
      </c>
    </row>
    <row r="68" spans="1:16" ht="29.25">
      <c r="A68" s="46">
        <v>7814</v>
      </c>
      <c r="B68" s="46"/>
      <c r="C68" s="12" t="s">
        <v>232</v>
      </c>
      <c r="D68" s="12" t="s">
        <v>233</v>
      </c>
      <c r="E68" s="12"/>
      <c r="F68" s="13" t="s">
        <v>3</v>
      </c>
      <c r="G68" s="12" t="s">
        <v>234</v>
      </c>
      <c r="H68" s="12" t="s">
        <v>235</v>
      </c>
      <c r="I68" s="13" t="s">
        <v>80</v>
      </c>
      <c r="J68" s="13"/>
      <c r="K68" s="15" t="s">
        <v>221</v>
      </c>
      <c r="L68" s="15"/>
      <c r="M68" s="14">
        <v>45448</v>
      </c>
      <c r="N68" s="15"/>
      <c r="O68" s="7"/>
      <c r="P68" s="51">
        <f>COUNTIF($A$2:$A$121,A68)</f>
        <v>1</v>
      </c>
    </row>
    <row r="69" spans="1:16">
      <c r="A69" s="46">
        <v>7818</v>
      </c>
      <c r="B69" s="46"/>
      <c r="C69" s="12" t="s">
        <v>196</v>
      </c>
      <c r="D69" s="12" t="s">
        <v>236</v>
      </c>
      <c r="E69" s="12"/>
      <c r="F69" s="13" t="s">
        <v>2</v>
      </c>
      <c r="G69" s="12"/>
      <c r="H69" s="12" t="s">
        <v>237</v>
      </c>
      <c r="I69" s="13" t="s">
        <v>199</v>
      </c>
      <c r="J69" s="13" t="s">
        <v>200</v>
      </c>
      <c r="K69" s="14">
        <v>45181</v>
      </c>
      <c r="L69" s="27"/>
      <c r="M69" s="14">
        <v>45391</v>
      </c>
      <c r="N69" s="31"/>
      <c r="O69" s="7"/>
      <c r="P69" s="51">
        <f>COUNTIF($A$2:$A$121,A69)</f>
        <v>1</v>
      </c>
    </row>
    <row r="70" spans="1:16">
      <c r="A70" s="46">
        <v>7821</v>
      </c>
      <c r="B70" s="46"/>
      <c r="C70" s="12" t="s">
        <v>238</v>
      </c>
      <c r="D70" s="12" t="s">
        <v>239</v>
      </c>
      <c r="E70" s="12"/>
      <c r="F70" s="13" t="s">
        <v>3</v>
      </c>
      <c r="G70" s="12" t="s">
        <v>240</v>
      </c>
      <c r="H70" s="12" t="s">
        <v>241</v>
      </c>
      <c r="I70" s="13" t="s">
        <v>242</v>
      </c>
      <c r="J70" s="13"/>
      <c r="K70" s="14">
        <v>45377</v>
      </c>
      <c r="L70" s="15"/>
      <c r="M70" s="14">
        <v>45587</v>
      </c>
      <c r="N70" s="16"/>
      <c r="O70" s="7"/>
      <c r="P70" s="51">
        <f>COUNTIF($A$2:$A$121,A70)</f>
        <v>1</v>
      </c>
    </row>
    <row r="71" spans="1:16">
      <c r="A71" s="47">
        <v>7830</v>
      </c>
      <c r="B71" s="47"/>
      <c r="C71" s="23" t="s">
        <v>232</v>
      </c>
      <c r="D71" s="23" t="s">
        <v>243</v>
      </c>
      <c r="E71" s="23"/>
      <c r="F71" s="24" t="s">
        <v>3</v>
      </c>
      <c r="G71" s="23" t="s">
        <v>244</v>
      </c>
      <c r="H71" s="23" t="s">
        <v>235</v>
      </c>
      <c r="I71" s="24" t="s">
        <v>80</v>
      </c>
      <c r="J71" s="40"/>
      <c r="K71" s="40" t="s">
        <v>221</v>
      </c>
      <c r="L71" s="40"/>
      <c r="M71" s="25">
        <v>45482</v>
      </c>
      <c r="N71" s="40"/>
      <c r="O71" s="7"/>
      <c r="P71" s="51">
        <f>COUNTIF($A$2:$A$121,A71)</f>
        <v>1</v>
      </c>
    </row>
    <row r="72" spans="1:16">
      <c r="A72" s="46">
        <v>7835</v>
      </c>
      <c r="B72" s="46"/>
      <c r="C72" s="12" t="s">
        <v>229</v>
      </c>
      <c r="D72" s="12" t="s">
        <v>245</v>
      </c>
      <c r="E72" s="12"/>
      <c r="F72" s="13" t="s">
        <v>3</v>
      </c>
      <c r="G72" s="12" t="s">
        <v>244</v>
      </c>
      <c r="H72" s="12" t="s">
        <v>235</v>
      </c>
      <c r="I72" s="13" t="s">
        <v>80</v>
      </c>
      <c r="J72" s="13"/>
      <c r="K72" s="14">
        <v>45364</v>
      </c>
      <c r="L72" s="40"/>
      <c r="M72" s="15"/>
      <c r="N72" s="16"/>
      <c r="O72" s="7"/>
      <c r="P72" s="51">
        <f>COUNTIF($A$2:$A$121,A72)</f>
        <v>1</v>
      </c>
    </row>
    <row r="73" spans="1:16" ht="72.75">
      <c r="A73" s="46">
        <v>7838</v>
      </c>
      <c r="B73" s="46"/>
      <c r="C73" s="12" t="s">
        <v>246</v>
      </c>
      <c r="D73" s="12" t="s">
        <v>247</v>
      </c>
      <c r="E73" s="12"/>
      <c r="F73" s="13" t="s">
        <v>3</v>
      </c>
      <c r="G73" s="12" t="s">
        <v>231</v>
      </c>
      <c r="H73" s="12" t="s">
        <v>248</v>
      </c>
      <c r="I73" s="13" t="s">
        <v>167</v>
      </c>
      <c r="J73" s="13" t="s">
        <v>120</v>
      </c>
      <c r="K73" s="14">
        <v>45362</v>
      </c>
      <c r="L73" s="40"/>
      <c r="M73" s="14">
        <v>45523</v>
      </c>
      <c r="N73" s="16"/>
      <c r="O73" s="7"/>
      <c r="P73" s="51">
        <f>COUNTIF($A$2:$A$121,A73)</f>
        <v>1</v>
      </c>
    </row>
    <row r="74" spans="1:16" ht="29.25">
      <c r="A74" s="46">
        <v>7839</v>
      </c>
      <c r="B74" s="46"/>
      <c r="C74" s="12" t="s">
        <v>249</v>
      </c>
      <c r="D74" s="12" t="s">
        <v>250</v>
      </c>
      <c r="E74" s="12"/>
      <c r="F74" s="13" t="s">
        <v>2</v>
      </c>
      <c r="G74" s="12" t="s">
        <v>251</v>
      </c>
      <c r="H74" s="12" t="s">
        <v>252</v>
      </c>
      <c r="I74" s="13" t="s">
        <v>186</v>
      </c>
      <c r="J74" s="13" t="s">
        <v>187</v>
      </c>
      <c r="K74" s="22">
        <v>45504</v>
      </c>
      <c r="L74" s="25">
        <v>45727</v>
      </c>
      <c r="M74" s="15"/>
      <c r="N74" s="16"/>
      <c r="O74" s="7"/>
      <c r="P74" s="51">
        <f>COUNTIF($A$2:$A$121,A74)</f>
        <v>1</v>
      </c>
    </row>
    <row r="75" spans="1:16">
      <c r="A75" s="46">
        <v>7841</v>
      </c>
      <c r="B75" s="46"/>
      <c r="C75" s="12" t="s">
        <v>229</v>
      </c>
      <c r="D75" s="12" t="s">
        <v>253</v>
      </c>
      <c r="E75" s="12"/>
      <c r="F75" s="13" t="s">
        <v>3</v>
      </c>
      <c r="G75" s="12" t="s">
        <v>244</v>
      </c>
      <c r="H75" s="12" t="s">
        <v>235</v>
      </c>
      <c r="I75" s="13" t="s">
        <v>80</v>
      </c>
      <c r="J75" s="13"/>
      <c r="K75" s="14">
        <v>45384</v>
      </c>
      <c r="L75" s="40"/>
      <c r="M75" s="15"/>
      <c r="N75" s="16"/>
      <c r="O75" s="7"/>
      <c r="P75" s="51">
        <f>COUNTIF($A$2:$A$121,A75)</f>
        <v>1</v>
      </c>
    </row>
    <row r="76" spans="1:16">
      <c r="A76" s="46">
        <v>7844</v>
      </c>
      <c r="B76" s="46"/>
      <c r="C76" s="12" t="s">
        <v>229</v>
      </c>
      <c r="D76" s="12" t="s">
        <v>254</v>
      </c>
      <c r="E76" s="12"/>
      <c r="F76" s="13" t="s">
        <v>3</v>
      </c>
      <c r="G76" s="12" t="s">
        <v>255</v>
      </c>
      <c r="H76" s="12" t="s">
        <v>235</v>
      </c>
      <c r="I76" s="13" t="s">
        <v>256</v>
      </c>
      <c r="J76" s="13"/>
      <c r="K76" s="14">
        <v>45379</v>
      </c>
      <c r="L76" s="40"/>
      <c r="M76" s="14">
        <v>45583</v>
      </c>
      <c r="N76" s="16"/>
      <c r="O76" s="7"/>
      <c r="P76" s="51">
        <f>COUNTIF($A$2:$A$121,A76)</f>
        <v>1</v>
      </c>
    </row>
    <row r="77" spans="1:16">
      <c r="A77" s="46">
        <v>7846</v>
      </c>
      <c r="B77" s="46"/>
      <c r="C77" s="12" t="s">
        <v>257</v>
      </c>
      <c r="D77" s="12" t="s">
        <v>258</v>
      </c>
      <c r="E77" s="12"/>
      <c r="F77" s="13" t="s">
        <v>3</v>
      </c>
      <c r="G77" s="12" t="s">
        <v>244</v>
      </c>
      <c r="H77" s="12" t="s">
        <v>41</v>
      </c>
      <c r="I77" s="13" t="s">
        <v>42</v>
      </c>
      <c r="J77" s="13" t="s">
        <v>95</v>
      </c>
      <c r="K77" s="14">
        <v>45336</v>
      </c>
      <c r="L77" s="40"/>
      <c r="M77" s="14">
        <v>45546</v>
      </c>
      <c r="N77" s="16"/>
      <c r="O77" s="7"/>
      <c r="P77" s="51">
        <f>COUNTIF($A$2:$A$121,A77)</f>
        <v>1</v>
      </c>
    </row>
    <row r="78" spans="1:16">
      <c r="A78" s="46">
        <v>7850</v>
      </c>
      <c r="B78" s="46"/>
      <c r="C78" s="12" t="s">
        <v>232</v>
      </c>
      <c r="D78" s="12" t="s">
        <v>259</v>
      </c>
      <c r="E78" s="12"/>
      <c r="F78" s="13" t="s">
        <v>3</v>
      </c>
      <c r="G78" s="12" t="s">
        <v>260</v>
      </c>
      <c r="H78" s="12" t="s">
        <v>235</v>
      </c>
      <c r="I78" s="13" t="s">
        <v>256</v>
      </c>
      <c r="J78" s="15"/>
      <c r="K78" s="15" t="s">
        <v>221</v>
      </c>
      <c r="L78" s="40"/>
      <c r="M78" s="14">
        <v>45587</v>
      </c>
      <c r="N78" s="15"/>
      <c r="O78" s="7"/>
      <c r="P78" s="51">
        <f>COUNTIF($A$2:$A$121,A78)</f>
        <v>1</v>
      </c>
    </row>
    <row r="79" spans="1:16">
      <c r="A79" s="46">
        <v>7853</v>
      </c>
      <c r="B79" s="46"/>
      <c r="C79" s="12" t="s">
        <v>229</v>
      </c>
      <c r="D79" s="12" t="s">
        <v>261</v>
      </c>
      <c r="E79" s="12"/>
      <c r="F79" s="13" t="s">
        <v>3</v>
      </c>
      <c r="G79" s="12" t="s">
        <v>262</v>
      </c>
      <c r="H79" s="12" t="s">
        <v>235</v>
      </c>
      <c r="I79" s="13" t="s">
        <v>80</v>
      </c>
      <c r="J79" s="13"/>
      <c r="K79" s="14">
        <v>45411</v>
      </c>
      <c r="L79" s="40"/>
      <c r="M79" s="14">
        <v>45684</v>
      </c>
      <c r="N79" s="16"/>
      <c r="O79" s="7"/>
      <c r="P79" s="51">
        <f>COUNTIF($A$2:$A$121,A79)</f>
        <v>1</v>
      </c>
    </row>
    <row r="80" spans="1:16" ht="174">
      <c r="A80" s="46">
        <v>7856</v>
      </c>
      <c r="B80" s="46"/>
      <c r="C80" s="12" t="s">
        <v>263</v>
      </c>
      <c r="D80" s="12" t="s">
        <v>264</v>
      </c>
      <c r="E80" s="12"/>
      <c r="F80" s="13" t="s">
        <v>3</v>
      </c>
      <c r="G80" s="12" t="s">
        <v>265</v>
      </c>
      <c r="H80" s="12" t="s">
        <v>266</v>
      </c>
      <c r="I80" s="12" t="s">
        <v>267</v>
      </c>
      <c r="J80" s="13" t="s">
        <v>268</v>
      </c>
      <c r="K80" s="14">
        <v>45338</v>
      </c>
      <c r="L80" s="40"/>
      <c r="M80" s="14">
        <v>45554</v>
      </c>
      <c r="N80" s="16"/>
      <c r="O80" s="7"/>
      <c r="P80" s="51">
        <f>COUNTIF($A$2:$A$121,A80)</f>
        <v>1</v>
      </c>
    </row>
    <row r="81" spans="1:16" ht="87">
      <c r="A81" s="46">
        <v>7887</v>
      </c>
      <c r="B81" s="46"/>
      <c r="C81" s="12" t="s">
        <v>116</v>
      </c>
      <c r="D81" s="12" t="s">
        <v>269</v>
      </c>
      <c r="E81" s="12"/>
      <c r="F81" s="13" t="s">
        <v>3</v>
      </c>
      <c r="G81" s="12" t="s">
        <v>270</v>
      </c>
      <c r="H81" s="12" t="s">
        <v>248</v>
      </c>
      <c r="I81" s="13" t="s">
        <v>271</v>
      </c>
      <c r="J81" s="13" t="s">
        <v>272</v>
      </c>
      <c r="K81" s="14">
        <v>45461</v>
      </c>
      <c r="L81" s="40"/>
      <c r="M81" s="14">
        <v>45733</v>
      </c>
      <c r="N81" s="22">
        <v>45862</v>
      </c>
      <c r="O81" s="7"/>
      <c r="P81" s="51">
        <f>COUNTIF($A$2:$A$121,A81)</f>
        <v>1</v>
      </c>
    </row>
    <row r="82" spans="1:16" ht="87">
      <c r="A82" s="46">
        <v>7888</v>
      </c>
      <c r="B82" s="46"/>
      <c r="C82" s="12" t="s">
        <v>116</v>
      </c>
      <c r="D82" s="12" t="s">
        <v>273</v>
      </c>
      <c r="E82" s="12"/>
      <c r="F82" s="13" t="s">
        <v>3</v>
      </c>
      <c r="G82" s="12" t="s">
        <v>270</v>
      </c>
      <c r="H82" s="12" t="s">
        <v>248</v>
      </c>
      <c r="I82" s="13" t="s">
        <v>167</v>
      </c>
      <c r="J82" s="13" t="s">
        <v>120</v>
      </c>
      <c r="K82" s="14">
        <v>45460</v>
      </c>
      <c r="L82" s="40"/>
      <c r="M82" s="14">
        <v>45729</v>
      </c>
      <c r="N82" s="16"/>
      <c r="O82" s="7"/>
      <c r="P82" s="51">
        <f>COUNTIF($A$2:$A$121,A82)</f>
        <v>1</v>
      </c>
    </row>
    <row r="83" spans="1:16">
      <c r="A83" s="46">
        <v>7889</v>
      </c>
      <c r="B83" s="46"/>
      <c r="C83" s="12" t="s">
        <v>229</v>
      </c>
      <c r="D83" s="12" t="s">
        <v>274</v>
      </c>
      <c r="E83" s="12"/>
      <c r="F83" s="13" t="s">
        <v>4</v>
      </c>
      <c r="G83" s="12" t="s">
        <v>221</v>
      </c>
      <c r="H83" s="12" t="s">
        <v>235</v>
      </c>
      <c r="I83" s="13" t="s">
        <v>80</v>
      </c>
      <c r="J83" s="13"/>
      <c r="K83" s="14">
        <v>45532</v>
      </c>
      <c r="L83" s="40"/>
      <c r="M83" s="14">
        <v>45742</v>
      </c>
      <c r="N83" s="16"/>
      <c r="O83" s="7"/>
      <c r="P83" s="51">
        <f>COUNTIF($A$2:$A$121,A83)</f>
        <v>1</v>
      </c>
    </row>
    <row r="84" spans="1:16" ht="174">
      <c r="A84" s="46">
        <v>7890</v>
      </c>
      <c r="B84" s="46"/>
      <c r="C84" s="12" t="s">
        <v>275</v>
      </c>
      <c r="D84" s="12" t="s">
        <v>276</v>
      </c>
      <c r="E84" s="12"/>
      <c r="F84" s="13" t="s">
        <v>3</v>
      </c>
      <c r="G84" s="12" t="s">
        <v>270</v>
      </c>
      <c r="H84" s="12" t="s">
        <v>277</v>
      </c>
      <c r="I84" s="13" t="s">
        <v>278</v>
      </c>
      <c r="J84" s="13" t="s">
        <v>279</v>
      </c>
      <c r="K84" s="14">
        <v>45443</v>
      </c>
      <c r="L84" s="40"/>
      <c r="M84" s="14">
        <v>45712</v>
      </c>
      <c r="N84" s="22">
        <v>45840</v>
      </c>
      <c r="O84" s="7"/>
      <c r="P84" s="51">
        <f>COUNTIF($A$2:$A$121,A84)</f>
        <v>1</v>
      </c>
    </row>
    <row r="85" spans="1:16">
      <c r="A85" s="46">
        <v>7899</v>
      </c>
      <c r="B85" s="46"/>
      <c r="C85" s="12" t="s">
        <v>280</v>
      </c>
      <c r="D85" s="12" t="s">
        <v>281</v>
      </c>
      <c r="E85" s="12"/>
      <c r="F85" s="13" t="s">
        <v>3</v>
      </c>
      <c r="G85" s="13" t="s">
        <v>231</v>
      </c>
      <c r="H85" s="12" t="s">
        <v>41</v>
      </c>
      <c r="I85" s="13" t="s">
        <v>42</v>
      </c>
      <c r="J85" s="13" t="s">
        <v>95</v>
      </c>
      <c r="K85" s="14">
        <v>45532</v>
      </c>
      <c r="L85" s="40"/>
      <c r="M85" s="14">
        <v>45742</v>
      </c>
      <c r="N85" s="16"/>
      <c r="O85" s="7"/>
      <c r="P85" s="51">
        <f>COUNTIF($A$2:$A$121,A85)</f>
        <v>1</v>
      </c>
    </row>
    <row r="86" spans="1:16">
      <c r="A86" s="46">
        <v>7902</v>
      </c>
      <c r="B86" s="46"/>
      <c r="C86" s="12" t="s">
        <v>229</v>
      </c>
      <c r="D86" s="12" t="s">
        <v>282</v>
      </c>
      <c r="E86" s="12"/>
      <c r="F86" s="13" t="s">
        <v>3</v>
      </c>
      <c r="G86" s="12" t="s">
        <v>244</v>
      </c>
      <c r="H86" s="12" t="s">
        <v>235</v>
      </c>
      <c r="I86" s="13" t="s">
        <v>80</v>
      </c>
      <c r="J86" s="13"/>
      <c r="K86" s="14">
        <v>45460</v>
      </c>
      <c r="L86" s="40"/>
      <c r="M86" s="14">
        <v>45670</v>
      </c>
      <c r="N86" s="16"/>
      <c r="O86" s="7"/>
      <c r="P86" s="51">
        <f>COUNTIF($A$2:$A$121,A86)</f>
        <v>1</v>
      </c>
    </row>
    <row r="87" spans="1:16" ht="43.5">
      <c r="A87" s="46">
        <v>7907</v>
      </c>
      <c r="B87" s="46"/>
      <c r="C87" s="12" t="s">
        <v>283</v>
      </c>
      <c r="D87" s="12" t="s">
        <v>284</v>
      </c>
      <c r="E87" s="12"/>
      <c r="F87" s="13" t="s">
        <v>3</v>
      </c>
      <c r="G87" s="12" t="s">
        <v>285</v>
      </c>
      <c r="H87" s="12" t="s">
        <v>286</v>
      </c>
      <c r="I87" s="13" t="s">
        <v>287</v>
      </c>
      <c r="J87" s="13" t="s">
        <v>288</v>
      </c>
      <c r="K87" s="14">
        <v>45566</v>
      </c>
      <c r="L87" s="40"/>
      <c r="M87" s="14">
        <v>45838</v>
      </c>
      <c r="N87" s="22">
        <v>45967</v>
      </c>
      <c r="O87" s="7"/>
      <c r="P87" s="51">
        <f>COUNTIF($A$2:$A$121,A87)</f>
        <v>1</v>
      </c>
    </row>
    <row r="88" spans="1:16" ht="57.75">
      <c r="A88" s="46">
        <v>7950</v>
      </c>
      <c r="B88" s="46"/>
      <c r="C88" s="12" t="s">
        <v>289</v>
      </c>
      <c r="D88" s="12" t="s">
        <v>290</v>
      </c>
      <c r="E88" s="12"/>
      <c r="F88" s="13" t="s">
        <v>3</v>
      </c>
      <c r="G88" s="12" t="s">
        <v>231</v>
      </c>
      <c r="H88" s="12" t="s">
        <v>291</v>
      </c>
      <c r="I88" s="12" t="s">
        <v>292</v>
      </c>
      <c r="J88" s="13"/>
      <c r="K88" s="14">
        <v>45482</v>
      </c>
      <c r="L88" s="25">
        <v>45644</v>
      </c>
      <c r="M88" s="14">
        <v>45915</v>
      </c>
      <c r="N88" s="16"/>
      <c r="O88" s="7"/>
      <c r="P88" s="51">
        <f>COUNTIF($A$2:$A$121,A88)</f>
        <v>1</v>
      </c>
    </row>
    <row r="89" spans="1:16" ht="29.25">
      <c r="A89" s="46">
        <v>7969</v>
      </c>
      <c r="B89" s="46"/>
      <c r="C89" s="12" t="s">
        <v>293</v>
      </c>
      <c r="D89" s="12" t="s">
        <v>294</v>
      </c>
      <c r="E89" s="12"/>
      <c r="F89" s="13" t="s">
        <v>3</v>
      </c>
      <c r="G89" s="12" t="s">
        <v>234</v>
      </c>
      <c r="H89" s="12" t="s">
        <v>295</v>
      </c>
      <c r="I89" s="13" t="s">
        <v>296</v>
      </c>
      <c r="J89" s="13"/>
      <c r="K89" s="14">
        <v>45517</v>
      </c>
      <c r="L89" s="40"/>
      <c r="M89" s="14">
        <v>45786</v>
      </c>
      <c r="N89" s="22">
        <v>45918</v>
      </c>
      <c r="O89" s="7"/>
      <c r="P89" s="51">
        <f>COUNTIF($A$2:$A$121,A89)</f>
        <v>1</v>
      </c>
    </row>
    <row r="90" spans="1:16">
      <c r="A90" s="46">
        <v>8042</v>
      </c>
      <c r="B90" s="46"/>
      <c r="C90" s="12" t="s">
        <v>229</v>
      </c>
      <c r="D90" s="12" t="s">
        <v>297</v>
      </c>
      <c r="E90" s="12"/>
      <c r="F90" s="13" t="s">
        <v>3</v>
      </c>
      <c r="G90" s="12" t="s">
        <v>244</v>
      </c>
      <c r="H90" s="12" t="s">
        <v>235</v>
      </c>
      <c r="I90" s="13" t="s">
        <v>80</v>
      </c>
      <c r="J90" s="13"/>
      <c r="K90" s="14">
        <v>45708</v>
      </c>
      <c r="L90" s="40"/>
      <c r="M90" s="14">
        <v>45917</v>
      </c>
      <c r="N90" s="16"/>
      <c r="O90" s="7"/>
      <c r="P90" s="51">
        <f>COUNTIF($A$2:$A$121,A90)</f>
        <v>1</v>
      </c>
    </row>
    <row r="91" spans="1:16" ht="130.5">
      <c r="A91" s="46">
        <v>8052</v>
      </c>
      <c r="B91" s="46"/>
      <c r="C91" s="12" t="s">
        <v>298</v>
      </c>
      <c r="D91" s="12" t="s">
        <v>299</v>
      </c>
      <c r="E91" s="12"/>
      <c r="F91" s="13" t="s">
        <v>3</v>
      </c>
      <c r="G91" s="12" t="s">
        <v>231</v>
      </c>
      <c r="H91" s="12" t="s">
        <v>300</v>
      </c>
      <c r="I91" s="12" t="s">
        <v>301</v>
      </c>
      <c r="J91" s="13" t="s">
        <v>195</v>
      </c>
      <c r="K91" s="41">
        <v>45685</v>
      </c>
      <c r="L91" s="40"/>
      <c r="M91" s="14">
        <v>45894</v>
      </c>
      <c r="N91" s="16"/>
      <c r="O91" s="7"/>
      <c r="P91" s="51">
        <f>COUNTIF($A$2:$A$121,A91)</f>
        <v>1</v>
      </c>
    </row>
    <row r="92" spans="1:16" ht="29.25">
      <c r="A92" s="46">
        <v>8093</v>
      </c>
      <c r="B92" s="46"/>
      <c r="C92" s="12" t="s">
        <v>302</v>
      </c>
      <c r="D92" s="12" t="s">
        <v>303</v>
      </c>
      <c r="E92" s="12"/>
      <c r="F92" s="13" t="s">
        <v>3</v>
      </c>
      <c r="G92" s="12" t="s">
        <v>231</v>
      </c>
      <c r="H92" s="12" t="s">
        <v>300</v>
      </c>
      <c r="I92" s="13" t="s">
        <v>220</v>
      </c>
      <c r="J92" s="13" t="s">
        <v>195</v>
      </c>
      <c r="K92" s="14">
        <v>46050</v>
      </c>
      <c r="L92" s="40"/>
      <c r="M92" s="14">
        <v>45894</v>
      </c>
      <c r="N92" s="16"/>
      <c r="O92" s="7"/>
      <c r="P92" s="51">
        <f>COUNTIF($A$2:$A$121,A92)</f>
        <v>1</v>
      </c>
    </row>
    <row r="93" spans="1:16" ht="43.5">
      <c r="A93" s="46">
        <v>8112</v>
      </c>
      <c r="B93" s="46"/>
      <c r="C93" s="12" t="s">
        <v>304</v>
      </c>
      <c r="D93" s="12" t="s">
        <v>305</v>
      </c>
      <c r="E93" s="12"/>
      <c r="F93" s="13" t="s">
        <v>3</v>
      </c>
      <c r="G93" s="12" t="s">
        <v>244</v>
      </c>
      <c r="H93" s="12" t="s">
        <v>306</v>
      </c>
      <c r="I93" s="13" t="s">
        <v>307</v>
      </c>
      <c r="J93" s="13" t="s">
        <v>308</v>
      </c>
      <c r="K93" s="14">
        <v>45691</v>
      </c>
      <c r="L93" s="40"/>
      <c r="M93" s="14">
        <v>45849</v>
      </c>
      <c r="N93" s="16"/>
      <c r="O93" s="7"/>
      <c r="P93" s="51">
        <f>COUNTIF($A$2:$A$121,A93)</f>
        <v>1</v>
      </c>
    </row>
    <row r="94" spans="1:16" ht="29.25">
      <c r="A94" s="46">
        <v>8132</v>
      </c>
      <c r="B94" s="46"/>
      <c r="C94" s="12" t="s">
        <v>309</v>
      </c>
      <c r="D94" s="12" t="s">
        <v>310</v>
      </c>
      <c r="E94" s="12"/>
      <c r="F94" s="13" t="s">
        <v>2</v>
      </c>
      <c r="G94" s="12"/>
      <c r="H94" s="12" t="s">
        <v>311</v>
      </c>
      <c r="I94" s="13" t="s">
        <v>312</v>
      </c>
      <c r="J94" s="13" t="s">
        <v>313</v>
      </c>
      <c r="K94" s="14">
        <v>45764</v>
      </c>
      <c r="L94" s="32"/>
      <c r="M94" s="14">
        <v>45974</v>
      </c>
      <c r="N94" s="35"/>
      <c r="O94" s="7"/>
      <c r="P94" s="51">
        <f>COUNTIF($A$2:$A$121,A94)</f>
        <v>1</v>
      </c>
    </row>
    <row r="95" spans="1:16" ht="43.5">
      <c r="A95" s="46">
        <v>8133</v>
      </c>
      <c r="B95" s="46"/>
      <c r="C95" s="12" t="s">
        <v>314</v>
      </c>
      <c r="D95" s="12" t="s">
        <v>315</v>
      </c>
      <c r="E95" s="12"/>
      <c r="F95" s="13" t="s">
        <v>3</v>
      </c>
      <c r="G95" s="12" t="s">
        <v>262</v>
      </c>
      <c r="H95" s="12" t="s">
        <v>286</v>
      </c>
      <c r="I95" s="13" t="s">
        <v>287</v>
      </c>
      <c r="J95" s="13" t="s">
        <v>288</v>
      </c>
      <c r="K95" s="14">
        <v>45940</v>
      </c>
      <c r="L95" s="40"/>
      <c r="M95" s="15"/>
      <c r="N95" s="16"/>
      <c r="O95" s="7"/>
      <c r="P95" s="51">
        <f>COUNTIF($A$2:$A$121,A95)</f>
        <v>1</v>
      </c>
    </row>
    <row r="96" spans="1:16" ht="43.5">
      <c r="A96" s="46">
        <v>8135</v>
      </c>
      <c r="B96" s="46"/>
      <c r="C96" s="12" t="s">
        <v>316</v>
      </c>
      <c r="D96" s="12" t="s">
        <v>317</v>
      </c>
      <c r="E96" s="12"/>
      <c r="F96" s="13" t="s">
        <v>2</v>
      </c>
      <c r="G96" s="12" t="s">
        <v>251</v>
      </c>
      <c r="H96" s="12" t="s">
        <v>318</v>
      </c>
      <c r="I96" s="13" t="s">
        <v>31</v>
      </c>
      <c r="J96" s="13"/>
      <c r="K96" s="14">
        <v>45789</v>
      </c>
      <c r="L96" s="40"/>
      <c r="M96" s="14">
        <v>45967</v>
      </c>
      <c r="N96" s="16"/>
      <c r="O96" s="7"/>
      <c r="P96" s="51">
        <f>COUNTIF($A$2:$A$121,A96)</f>
        <v>1</v>
      </c>
    </row>
    <row r="97" spans="1:16" ht="29.25">
      <c r="A97" s="46">
        <v>8137</v>
      </c>
      <c r="B97" s="46"/>
      <c r="C97" s="12" t="s">
        <v>319</v>
      </c>
      <c r="D97" s="12" t="s">
        <v>320</v>
      </c>
      <c r="E97" s="12"/>
      <c r="F97" s="13" t="s">
        <v>3</v>
      </c>
      <c r="G97" s="12" t="s">
        <v>218</v>
      </c>
      <c r="H97" s="12" t="s">
        <v>321</v>
      </c>
      <c r="I97" s="13" t="s">
        <v>146</v>
      </c>
      <c r="J97" s="13" t="s">
        <v>134</v>
      </c>
      <c r="K97" s="14">
        <v>45783</v>
      </c>
      <c r="L97" s="15"/>
      <c r="M97" s="14">
        <v>45960</v>
      </c>
      <c r="N97" s="16"/>
      <c r="O97" s="7"/>
      <c r="P97" s="51">
        <f>COUNTIF($A$2:$A$121,A97)</f>
        <v>1</v>
      </c>
    </row>
    <row r="98" spans="1:16">
      <c r="A98" s="47">
        <v>8139</v>
      </c>
      <c r="B98" s="47"/>
      <c r="C98" s="23" t="s">
        <v>322</v>
      </c>
      <c r="D98" s="23" t="s">
        <v>323</v>
      </c>
      <c r="E98" s="23"/>
      <c r="F98" s="24" t="s">
        <v>3</v>
      </c>
      <c r="G98" s="23" t="s">
        <v>324</v>
      </c>
      <c r="H98" s="23" t="s">
        <v>325</v>
      </c>
      <c r="I98" s="24" t="s">
        <v>326</v>
      </c>
      <c r="J98" s="24"/>
      <c r="K98" s="25">
        <v>45918</v>
      </c>
      <c r="L98" s="32"/>
      <c r="M98" s="32"/>
      <c r="N98" s="33"/>
      <c r="O98" s="7"/>
      <c r="P98" s="51">
        <f>COUNTIF($A$2:$A$121,A98)</f>
        <v>1</v>
      </c>
    </row>
    <row r="99" spans="1:16" ht="29.25">
      <c r="A99" s="46">
        <v>8143</v>
      </c>
      <c r="B99" s="46"/>
      <c r="C99" s="12" t="s">
        <v>275</v>
      </c>
      <c r="D99" s="12" t="s">
        <v>327</v>
      </c>
      <c r="E99" s="12"/>
      <c r="F99" s="13" t="s">
        <v>3</v>
      </c>
      <c r="G99" s="12" t="s">
        <v>24</v>
      </c>
      <c r="H99" s="12" t="s">
        <v>328</v>
      </c>
      <c r="I99" s="13" t="s">
        <v>329</v>
      </c>
      <c r="J99" s="13" t="s">
        <v>330</v>
      </c>
      <c r="K99" s="14">
        <v>45790</v>
      </c>
      <c r="L99" s="14">
        <v>45993</v>
      </c>
      <c r="M99" s="34"/>
      <c r="N99" s="34"/>
      <c r="O99" s="7"/>
      <c r="P99" s="51">
        <f>COUNTIF($A$2:$A$121,A99)</f>
        <v>1</v>
      </c>
    </row>
    <row r="100" spans="1:16" ht="43.5">
      <c r="A100" s="46">
        <v>8144</v>
      </c>
      <c r="B100" s="46"/>
      <c r="C100" s="12" t="s">
        <v>229</v>
      </c>
      <c r="D100" s="12" t="s">
        <v>331</v>
      </c>
      <c r="E100" s="12"/>
      <c r="F100" s="13" t="s">
        <v>4</v>
      </c>
      <c r="G100" s="12" t="s">
        <v>251</v>
      </c>
      <c r="H100" s="12" t="s">
        <v>235</v>
      </c>
      <c r="I100" s="13" t="s">
        <v>80</v>
      </c>
      <c r="J100" s="13"/>
      <c r="K100" s="14">
        <v>45869</v>
      </c>
      <c r="L100" s="15"/>
      <c r="M100" s="15"/>
      <c r="N100" s="16"/>
      <c r="O100" s="7"/>
      <c r="P100" s="51">
        <f>COUNTIF($A$2:$A$121,A100)</f>
        <v>1</v>
      </c>
    </row>
    <row r="101" spans="1:16" ht="188.25">
      <c r="A101" s="46">
        <v>8150</v>
      </c>
      <c r="B101" s="46"/>
      <c r="C101" s="12" t="s">
        <v>332</v>
      </c>
      <c r="D101" s="12" t="s">
        <v>333</v>
      </c>
      <c r="E101" s="12"/>
      <c r="F101" s="13" t="s">
        <v>2</v>
      </c>
      <c r="G101" s="12" t="s">
        <v>251</v>
      </c>
      <c r="H101" s="12" t="s">
        <v>334</v>
      </c>
      <c r="I101" s="13" t="s">
        <v>335</v>
      </c>
      <c r="J101" s="13"/>
      <c r="K101" s="14">
        <v>45910</v>
      </c>
      <c r="L101" s="15"/>
      <c r="M101" s="15"/>
      <c r="N101" s="16"/>
      <c r="O101" s="7"/>
      <c r="P101" s="51">
        <f>COUNTIF($A$2:$A$121,A101)</f>
        <v>1</v>
      </c>
    </row>
    <row r="102" spans="1:16" s="37" customFormat="1" ht="72.75">
      <c r="A102" s="46">
        <v>8163</v>
      </c>
      <c r="B102" s="46"/>
      <c r="C102" s="12" t="s">
        <v>336</v>
      </c>
      <c r="D102" s="12" t="s">
        <v>337</v>
      </c>
      <c r="E102" s="12"/>
      <c r="F102" s="13" t="s">
        <v>3</v>
      </c>
      <c r="G102" s="12" t="s">
        <v>244</v>
      </c>
      <c r="H102" s="12" t="s">
        <v>338</v>
      </c>
      <c r="I102" s="12" t="s">
        <v>339</v>
      </c>
      <c r="J102" s="12" t="s">
        <v>340</v>
      </c>
      <c r="K102" s="14">
        <v>45925</v>
      </c>
      <c r="L102" s="15"/>
      <c r="M102" s="15"/>
      <c r="N102" s="16"/>
      <c r="O102" s="7"/>
      <c r="P102" s="51">
        <f>COUNTIF($A$2:$A$121,A102)</f>
        <v>1</v>
      </c>
    </row>
    <row r="103" spans="1:16" s="19" customFormat="1" ht="101.25">
      <c r="A103" s="46">
        <v>8164</v>
      </c>
      <c r="B103" s="46"/>
      <c r="C103" s="12" t="s">
        <v>341</v>
      </c>
      <c r="D103" s="38" t="s">
        <v>342</v>
      </c>
      <c r="E103" s="38"/>
      <c r="F103" s="13" t="s">
        <v>3</v>
      </c>
      <c r="G103" s="12" t="s">
        <v>270</v>
      </c>
      <c r="H103" s="12" t="s">
        <v>343</v>
      </c>
      <c r="I103" s="12" t="s">
        <v>344</v>
      </c>
      <c r="J103" s="12" t="s">
        <v>345</v>
      </c>
      <c r="K103" s="14">
        <v>45826</v>
      </c>
      <c r="L103" s="15"/>
      <c r="M103" s="15"/>
      <c r="N103" s="16"/>
      <c r="O103" s="7"/>
      <c r="P103" s="51">
        <f>COUNTIF($A$2:$A$121,A103)</f>
        <v>1</v>
      </c>
    </row>
    <row r="104" spans="1:16" s="19" customFormat="1" ht="29.25">
      <c r="A104" s="46">
        <v>8183</v>
      </c>
      <c r="B104" s="46"/>
      <c r="C104" s="12" t="s">
        <v>346</v>
      </c>
      <c r="D104" s="12" t="s">
        <v>347</v>
      </c>
      <c r="E104" s="12"/>
      <c r="F104" s="13" t="s">
        <v>2</v>
      </c>
      <c r="G104" s="12" t="s">
        <v>221</v>
      </c>
      <c r="H104" s="12" t="s">
        <v>348</v>
      </c>
      <c r="I104" s="12" t="s">
        <v>349</v>
      </c>
      <c r="J104" s="13" t="s">
        <v>350</v>
      </c>
      <c r="K104" s="14">
        <v>45889</v>
      </c>
      <c r="L104" s="15"/>
      <c r="M104" s="15"/>
      <c r="N104" s="16"/>
      <c r="O104" s="7"/>
      <c r="P104" s="51">
        <f>COUNTIF($A$2:$A$121,A104)</f>
        <v>1</v>
      </c>
    </row>
    <row r="105" spans="1:16" s="19" customFormat="1" ht="43.5">
      <c r="A105" s="46">
        <v>8199</v>
      </c>
      <c r="B105" s="46"/>
      <c r="C105" s="12" t="s">
        <v>351</v>
      </c>
      <c r="D105" s="12" t="s">
        <v>352</v>
      </c>
      <c r="E105" s="12"/>
      <c r="F105" s="13" t="s">
        <v>3</v>
      </c>
      <c r="G105" s="12" t="s">
        <v>353</v>
      </c>
      <c r="H105" s="12" t="s">
        <v>354</v>
      </c>
      <c r="I105" s="13" t="s">
        <v>355</v>
      </c>
      <c r="J105" s="13" t="s">
        <v>356</v>
      </c>
      <c r="K105" s="14">
        <v>45930</v>
      </c>
      <c r="L105" s="15"/>
      <c r="M105" s="15"/>
      <c r="N105" s="16"/>
      <c r="O105" s="7"/>
      <c r="P105" s="51">
        <f>COUNTIF($A$2:$A$121,A105)</f>
        <v>1</v>
      </c>
    </row>
    <row r="106" spans="1:16" s="19" customFormat="1" ht="174">
      <c r="A106" s="46">
        <v>8201</v>
      </c>
      <c r="B106" s="46"/>
      <c r="C106" s="18" t="s">
        <v>332</v>
      </c>
      <c r="D106" s="12" t="s">
        <v>357</v>
      </c>
      <c r="E106" s="12"/>
      <c r="F106" s="12" t="s">
        <v>5</v>
      </c>
      <c r="G106" s="13" t="s">
        <v>221</v>
      </c>
      <c r="H106" s="12" t="s">
        <v>358</v>
      </c>
      <c r="I106" s="13" t="s">
        <v>335</v>
      </c>
      <c r="J106" s="13"/>
      <c r="K106" s="14">
        <v>46016</v>
      </c>
      <c r="L106" s="15"/>
      <c r="M106" s="15"/>
      <c r="N106" s="16"/>
      <c r="O106" s="7"/>
      <c r="P106" s="51">
        <f>COUNTIF($A$2:$A$121,A106)</f>
        <v>1</v>
      </c>
    </row>
    <row r="107" spans="1:16" s="19" customFormat="1">
      <c r="A107" s="46">
        <v>8206</v>
      </c>
      <c r="B107" s="46"/>
      <c r="C107" s="12" t="s">
        <v>359</v>
      </c>
      <c r="D107" s="12" t="s">
        <v>360</v>
      </c>
      <c r="E107" s="12"/>
      <c r="F107" s="13" t="s">
        <v>3</v>
      </c>
      <c r="G107" s="12" t="s">
        <v>260</v>
      </c>
      <c r="H107" s="12" t="s">
        <v>41</v>
      </c>
      <c r="I107" s="13" t="s">
        <v>42</v>
      </c>
      <c r="J107" s="13" t="s">
        <v>95</v>
      </c>
      <c r="K107" s="14">
        <v>45974</v>
      </c>
      <c r="L107" s="15"/>
      <c r="M107" s="15"/>
      <c r="N107" s="16"/>
      <c r="O107" s="7"/>
      <c r="P107" s="51">
        <f>COUNTIF($A$2:$A$121,A107)</f>
        <v>1</v>
      </c>
    </row>
    <row r="108" spans="1:16" s="19" customFormat="1" ht="29.25">
      <c r="A108" s="46">
        <v>8224</v>
      </c>
      <c r="B108" s="46"/>
      <c r="C108" s="12" t="s">
        <v>361</v>
      </c>
      <c r="D108" s="12" t="s">
        <v>362</v>
      </c>
      <c r="E108" s="12"/>
      <c r="F108" s="13" t="s">
        <v>3</v>
      </c>
      <c r="G108" s="12" t="s">
        <v>244</v>
      </c>
      <c r="H108" s="12" t="s">
        <v>363</v>
      </c>
      <c r="I108" s="13" t="s">
        <v>364</v>
      </c>
      <c r="J108" s="13" t="s">
        <v>365</v>
      </c>
      <c r="K108" s="14">
        <v>46009</v>
      </c>
      <c r="L108" s="15"/>
      <c r="M108" s="15"/>
      <c r="N108" s="16"/>
      <c r="O108" s="7"/>
      <c r="P108" s="51">
        <f>COUNTIF($A$2:$A$121,A108)</f>
        <v>1</v>
      </c>
    </row>
    <row r="109" spans="1:16" s="19" customFormat="1" ht="29.25">
      <c r="A109" s="45">
        <v>15434</v>
      </c>
      <c r="B109" s="45"/>
      <c r="C109" s="2" t="s">
        <v>366</v>
      </c>
      <c r="D109" s="2" t="s">
        <v>367</v>
      </c>
      <c r="E109" s="2"/>
      <c r="F109" s="2"/>
      <c r="G109" s="2"/>
      <c r="H109" s="2" t="s">
        <v>368</v>
      </c>
      <c r="I109" s="2"/>
      <c r="J109" s="2"/>
      <c r="K109" s="4">
        <v>42650</v>
      </c>
      <c r="L109" s="5"/>
      <c r="M109" s="5"/>
      <c r="N109" s="5"/>
      <c r="O109" s="7" t="s">
        <v>369</v>
      </c>
      <c r="P109" s="51">
        <f>COUNTIF($A$2:$A$121,A109)</f>
        <v>1</v>
      </c>
    </row>
    <row r="110" spans="1:16" s="19" customFormat="1" ht="25.5" customHeight="1">
      <c r="A110" s="45">
        <v>15135</v>
      </c>
      <c r="B110" s="45"/>
      <c r="C110" s="2" t="s">
        <v>370</v>
      </c>
      <c r="D110" s="2" t="s">
        <v>371</v>
      </c>
      <c r="E110" s="2"/>
      <c r="F110" s="2" t="s">
        <v>3</v>
      </c>
      <c r="G110" s="2" t="s">
        <v>24</v>
      </c>
      <c r="H110" s="2" t="s">
        <v>372</v>
      </c>
      <c r="I110" s="2" t="s">
        <v>373</v>
      </c>
      <c r="J110" s="2"/>
      <c r="K110" s="4">
        <v>42654</v>
      </c>
      <c r="L110" s="5"/>
      <c r="M110" s="4">
        <v>42961</v>
      </c>
      <c r="N110" s="5"/>
      <c r="O110" s="7"/>
      <c r="P110" s="51">
        <f>COUNTIF($A$2:$A$121,A110)</f>
        <v>1</v>
      </c>
    </row>
    <row r="111" spans="1:16" s="19" customFormat="1" ht="29.25">
      <c r="A111" s="61">
        <v>7175</v>
      </c>
      <c r="B111" s="61"/>
      <c r="C111" s="2" t="s">
        <v>370</v>
      </c>
      <c r="D111" s="2" t="s">
        <v>371</v>
      </c>
      <c r="E111" s="2"/>
      <c r="F111" s="2" t="s">
        <v>3</v>
      </c>
      <c r="G111" s="2" t="s">
        <v>24</v>
      </c>
      <c r="H111" s="2" t="s">
        <v>372</v>
      </c>
      <c r="I111" s="2" t="s">
        <v>373</v>
      </c>
      <c r="J111" s="2"/>
      <c r="K111" s="4">
        <v>42654</v>
      </c>
      <c r="L111" s="5"/>
      <c r="M111" s="4">
        <v>42961</v>
      </c>
      <c r="N111" s="5"/>
      <c r="O111" s="7"/>
      <c r="P111" s="51">
        <f>COUNTIF($A$2:$A$121,A111)</f>
        <v>1</v>
      </c>
    </row>
    <row r="112" spans="1:16" s="19" customFormat="1" ht="159">
      <c r="A112" s="45">
        <v>7191</v>
      </c>
      <c r="B112" s="45"/>
      <c r="C112" s="2" t="s">
        <v>374</v>
      </c>
      <c r="D112" s="2" t="s">
        <v>375</v>
      </c>
      <c r="E112" s="2"/>
      <c r="F112" s="2" t="s">
        <v>3</v>
      </c>
      <c r="G112" s="2" t="s">
        <v>45</v>
      </c>
      <c r="H112" s="7" t="s">
        <v>376</v>
      </c>
      <c r="I112" s="7" t="s">
        <v>373</v>
      </c>
      <c r="J112" s="2"/>
      <c r="K112" s="4">
        <v>42867</v>
      </c>
      <c r="L112" s="5"/>
      <c r="M112" s="4">
        <v>43174</v>
      </c>
      <c r="N112" s="8"/>
      <c r="O112" s="7"/>
      <c r="P112" s="51">
        <f>COUNTIF($A$2:$A$121,A112)</f>
        <v>1</v>
      </c>
    </row>
    <row r="113" spans="1:16" s="19" customFormat="1" ht="159">
      <c r="A113" s="45">
        <v>7198</v>
      </c>
      <c r="B113" s="45"/>
      <c r="C113" s="2" t="s">
        <v>374</v>
      </c>
      <c r="D113" s="2" t="s">
        <v>375</v>
      </c>
      <c r="E113" s="2"/>
      <c r="F113" s="2" t="s">
        <v>3</v>
      </c>
      <c r="G113" s="2" t="s">
        <v>45</v>
      </c>
      <c r="H113" s="7" t="s">
        <v>376</v>
      </c>
      <c r="I113" s="7" t="s">
        <v>373</v>
      </c>
      <c r="J113" s="2"/>
      <c r="K113" s="4">
        <v>42867</v>
      </c>
      <c r="L113" s="5"/>
      <c r="M113" s="4">
        <v>43174</v>
      </c>
      <c r="N113" s="8"/>
      <c r="O113" s="7"/>
      <c r="P113" s="51">
        <f>COUNTIF($A$2:$A$121,A113)</f>
        <v>1</v>
      </c>
    </row>
    <row r="114" spans="1:16" s="19" customFormat="1">
      <c r="A114" s="48" t="s">
        <v>377</v>
      </c>
      <c r="B114" s="48"/>
      <c r="C114" s="12"/>
      <c r="D114" s="12" t="s">
        <v>378</v>
      </c>
      <c r="E114" s="12"/>
      <c r="F114" s="13"/>
      <c r="G114" s="12"/>
      <c r="H114" s="12"/>
      <c r="I114" s="13"/>
      <c r="J114" s="13"/>
      <c r="K114" s="31">
        <v>44970</v>
      </c>
      <c r="L114" s="27"/>
      <c r="M114" s="31">
        <v>45181</v>
      </c>
      <c r="N114" s="31"/>
      <c r="O114" s="7"/>
      <c r="P114" s="51">
        <f>COUNTIF($A$2:$A$121,A114)</f>
        <v>1</v>
      </c>
    </row>
    <row r="115" spans="1:16" s="19" customFormat="1">
      <c r="A115" s="46">
        <v>7785</v>
      </c>
      <c r="B115" s="46"/>
      <c r="C115" s="12" t="s">
        <v>151</v>
      </c>
      <c r="D115" s="12" t="s">
        <v>379</v>
      </c>
      <c r="E115" s="12"/>
      <c r="F115" s="13" t="s">
        <v>3</v>
      </c>
      <c r="G115" s="12" t="s">
        <v>231</v>
      </c>
      <c r="H115" s="12" t="s">
        <v>153</v>
      </c>
      <c r="I115" s="13" t="s">
        <v>154</v>
      </c>
      <c r="J115" s="13" t="s">
        <v>155</v>
      </c>
      <c r="K115" s="14">
        <v>44958</v>
      </c>
      <c r="L115" s="27"/>
      <c r="M115" s="14">
        <v>45229</v>
      </c>
      <c r="N115" s="31"/>
      <c r="O115" s="7"/>
      <c r="P115" s="51">
        <f>COUNTIF($A$2:$A$121,A115)</f>
        <v>1</v>
      </c>
    </row>
    <row r="116" spans="1:16" s="19" customFormat="1">
      <c r="A116" s="45">
        <v>7786</v>
      </c>
      <c r="B116" s="45"/>
      <c r="C116" s="12" t="s">
        <v>151</v>
      </c>
      <c r="D116" s="12" t="s">
        <v>379</v>
      </c>
      <c r="E116" s="12"/>
      <c r="F116" s="13" t="s">
        <v>3</v>
      </c>
      <c r="G116" s="12" t="s">
        <v>231</v>
      </c>
      <c r="H116" s="12" t="s">
        <v>153</v>
      </c>
      <c r="I116" s="13" t="s">
        <v>154</v>
      </c>
      <c r="J116" s="13" t="s">
        <v>155</v>
      </c>
      <c r="K116" s="14">
        <v>44958</v>
      </c>
      <c r="L116" s="27"/>
      <c r="M116" s="14">
        <v>45229</v>
      </c>
      <c r="N116" s="31"/>
      <c r="O116" s="7"/>
      <c r="P116" s="51">
        <f>COUNTIF($A$2:$A$121,A116)</f>
        <v>1</v>
      </c>
    </row>
    <row r="117" spans="1:16" s="19" customFormat="1" ht="29.25">
      <c r="A117" s="46">
        <v>7796</v>
      </c>
      <c r="B117" s="46"/>
      <c r="C117" s="12" t="s">
        <v>121</v>
      </c>
      <c r="D117" s="12" t="s">
        <v>380</v>
      </c>
      <c r="E117" s="12"/>
      <c r="F117" s="13" t="s">
        <v>3</v>
      </c>
      <c r="G117" s="12" t="s">
        <v>381</v>
      </c>
      <c r="H117" s="12" t="s">
        <v>193</v>
      </c>
      <c r="I117" s="13" t="s">
        <v>220</v>
      </c>
      <c r="J117" s="13" t="s">
        <v>195</v>
      </c>
      <c r="K117" s="14">
        <v>45055</v>
      </c>
      <c r="L117" s="27"/>
      <c r="M117" s="31"/>
      <c r="N117" s="14">
        <v>45454</v>
      </c>
      <c r="O117" s="7"/>
      <c r="P117" s="51">
        <f>COUNTIF($A$2:$A$121,A117)</f>
        <v>2</v>
      </c>
    </row>
    <row r="118" spans="1:16" ht="29.25">
      <c r="A118" s="45">
        <v>7799</v>
      </c>
      <c r="B118" s="45"/>
      <c r="C118" s="12" t="s">
        <v>121</v>
      </c>
      <c r="D118" s="12" t="s">
        <v>380</v>
      </c>
      <c r="E118" s="12"/>
      <c r="F118" s="13" t="s">
        <v>3</v>
      </c>
      <c r="G118" s="12" t="s">
        <v>381</v>
      </c>
      <c r="H118" s="12" t="s">
        <v>193</v>
      </c>
      <c r="I118" s="13" t="s">
        <v>220</v>
      </c>
      <c r="J118" s="13" t="s">
        <v>195</v>
      </c>
      <c r="K118" s="14">
        <v>45055</v>
      </c>
      <c r="L118" s="27"/>
      <c r="M118" s="31"/>
      <c r="N118" s="14">
        <v>45454</v>
      </c>
      <c r="O118" s="7"/>
      <c r="P118" s="51">
        <f>COUNTIF($A$2:$A$121,A118)</f>
        <v>1</v>
      </c>
    </row>
    <row r="119" spans="1:16" ht="29.25">
      <c r="A119" s="49">
        <v>7819</v>
      </c>
      <c r="B119" s="49" t="s">
        <v>382</v>
      </c>
      <c r="C119" s="12" t="s">
        <v>156</v>
      </c>
      <c r="D119" s="12" t="s">
        <v>383</v>
      </c>
      <c r="E119" s="12"/>
      <c r="F119" s="13" t="s">
        <v>3</v>
      </c>
      <c r="G119" s="12" t="s">
        <v>231</v>
      </c>
      <c r="H119" s="12" t="s">
        <v>384</v>
      </c>
      <c r="I119" s="12" t="s">
        <v>385</v>
      </c>
      <c r="J119" s="12" t="s">
        <v>386</v>
      </c>
      <c r="K119" s="15" t="s">
        <v>221</v>
      </c>
      <c r="L119" s="15"/>
      <c r="M119" s="14">
        <v>45441</v>
      </c>
      <c r="N119" s="15"/>
      <c r="O119" s="7"/>
      <c r="P119" s="51">
        <f>COUNTIF($A$2:$A$121,A119)</f>
        <v>1</v>
      </c>
    </row>
    <row r="120" spans="1:16" ht="188.25">
      <c r="A120" s="50">
        <v>7913</v>
      </c>
      <c r="B120" s="50" t="s">
        <v>387</v>
      </c>
      <c r="C120" s="12" t="s">
        <v>388</v>
      </c>
      <c r="D120" s="12" t="s">
        <v>389</v>
      </c>
      <c r="E120" s="12"/>
      <c r="F120" s="21" t="s">
        <v>3</v>
      </c>
      <c r="G120" s="20" t="s">
        <v>390</v>
      </c>
      <c r="H120" s="12" t="s">
        <v>266</v>
      </c>
      <c r="I120" s="12" t="s">
        <v>391</v>
      </c>
      <c r="J120" s="13" t="s">
        <v>268</v>
      </c>
      <c r="K120" s="14">
        <v>45595</v>
      </c>
      <c r="L120" s="15"/>
      <c r="M120" s="14">
        <v>45806</v>
      </c>
      <c r="N120" s="16"/>
      <c r="O120" s="7"/>
      <c r="P120" s="51">
        <f>COUNTIF($A$2:$A$121,A120)</f>
        <v>1</v>
      </c>
    </row>
    <row r="121" spans="1:16" ht="201.75">
      <c r="A121" s="49">
        <v>8210</v>
      </c>
      <c r="B121" s="49" t="s">
        <v>392</v>
      </c>
      <c r="C121" s="12" t="s">
        <v>361</v>
      </c>
      <c r="D121" s="12" t="s">
        <v>393</v>
      </c>
      <c r="E121" s="12"/>
      <c r="F121" s="12" t="s">
        <v>5</v>
      </c>
      <c r="G121" s="12" t="s">
        <v>221</v>
      </c>
      <c r="H121" s="12" t="s">
        <v>394</v>
      </c>
      <c r="I121" s="13" t="s">
        <v>395</v>
      </c>
      <c r="J121" s="13"/>
      <c r="K121" s="14">
        <v>45961</v>
      </c>
      <c r="L121" s="15"/>
      <c r="M121" s="15"/>
      <c r="N121" s="16"/>
      <c r="O121" s="7"/>
      <c r="P121" s="51">
        <f>COUNTIF($A$2:$A$121,A121)</f>
        <v>1</v>
      </c>
    </row>
    <row r="122" spans="1:16">
      <c r="A122" s="45"/>
      <c r="B122" s="45"/>
      <c r="J122" s="2"/>
      <c r="M122" s="8"/>
      <c r="N122" s="8"/>
      <c r="O122" s="7"/>
      <c r="P122" s="51"/>
    </row>
    <row r="123" spans="1:16">
      <c r="A123" s="45"/>
      <c r="B123" s="45"/>
      <c r="J123" s="2"/>
      <c r="M123" s="8"/>
      <c r="N123" s="8"/>
      <c r="O123" s="7"/>
      <c r="P123" s="51"/>
    </row>
    <row r="124" spans="1:16">
      <c r="A124" s="45"/>
      <c r="B124" s="45"/>
      <c r="J124" s="2"/>
      <c r="M124" s="8"/>
      <c r="N124" s="8"/>
      <c r="O124" s="7"/>
      <c r="P124" s="51"/>
    </row>
    <row r="125" spans="1:16">
      <c r="A125" s="45"/>
      <c r="B125" s="45"/>
      <c r="J125" s="2"/>
      <c r="M125" s="8"/>
      <c r="N125" s="8"/>
      <c r="O125" s="7"/>
      <c r="P125" s="51"/>
    </row>
    <row r="126" spans="1:16">
      <c r="A126" s="45"/>
      <c r="B126" s="45"/>
      <c r="J126" s="2"/>
      <c r="M126" s="8"/>
      <c r="N126" s="8"/>
      <c r="O126" s="7"/>
      <c r="P126" s="51"/>
    </row>
    <row r="127" spans="1:16">
      <c r="A127" s="45"/>
      <c r="B127" s="45"/>
      <c r="J127" s="2"/>
      <c r="M127" s="8"/>
      <c r="N127" s="8"/>
      <c r="O127" s="7"/>
      <c r="P127" s="51"/>
    </row>
    <row r="128" spans="1:16">
      <c r="A128" s="45"/>
      <c r="B128" s="45"/>
      <c r="J128" s="2"/>
      <c r="M128" s="8"/>
      <c r="N128" s="8"/>
      <c r="O128" s="7"/>
      <c r="P128" s="51"/>
    </row>
    <row r="129" spans="1:16">
      <c r="A129" s="45"/>
      <c r="B129" s="45"/>
      <c r="J129" s="2"/>
      <c r="M129" s="8"/>
      <c r="N129" s="8"/>
      <c r="O129" s="7"/>
      <c r="P129" s="51"/>
    </row>
    <row r="130" spans="1:16">
      <c r="A130" s="45"/>
      <c r="B130" s="45"/>
      <c r="J130" s="2"/>
      <c r="M130" s="8"/>
      <c r="N130" s="8"/>
      <c r="O130" s="7"/>
      <c r="P130" s="51"/>
    </row>
    <row r="131" spans="1:16">
      <c r="A131" s="45"/>
      <c r="B131" s="45"/>
      <c r="J131" s="2"/>
      <c r="M131" s="8"/>
      <c r="N131" s="8"/>
      <c r="O131" s="7"/>
      <c r="P131" s="51"/>
    </row>
    <row r="132" spans="1:16">
      <c r="A132" s="45"/>
      <c r="B132" s="45"/>
      <c r="J132" s="2"/>
      <c r="M132" s="8"/>
      <c r="N132" s="8"/>
      <c r="O132" s="7"/>
      <c r="P132" s="51"/>
    </row>
    <row r="133" spans="1:16">
      <c r="A133" s="45"/>
      <c r="B133" s="45"/>
      <c r="J133" s="2"/>
      <c r="M133" s="8"/>
      <c r="N133" s="8"/>
      <c r="O133" s="7"/>
      <c r="P133" s="51"/>
    </row>
    <row r="134" spans="1:16">
      <c r="A134" s="45"/>
      <c r="B134" s="45"/>
      <c r="J134" s="2"/>
      <c r="M134" s="8"/>
      <c r="N134" s="8"/>
      <c r="O134" s="7"/>
      <c r="P134" s="51"/>
    </row>
    <row r="135" spans="1:16">
      <c r="A135" s="45"/>
      <c r="B135" s="45"/>
      <c r="J135" s="2"/>
      <c r="M135" s="8"/>
      <c r="N135" s="8"/>
      <c r="O135" s="7"/>
      <c r="P135" s="51"/>
    </row>
    <row r="136" spans="1:16">
      <c r="A136" s="45"/>
      <c r="B136" s="45"/>
      <c r="J136" s="2"/>
      <c r="M136" s="8"/>
      <c r="N136" s="8"/>
      <c r="O136" s="7"/>
      <c r="P136" s="51"/>
    </row>
    <row r="137" spans="1:16">
      <c r="A137" s="45"/>
      <c r="B137" s="45"/>
      <c r="J137" s="2"/>
      <c r="M137" s="8"/>
      <c r="N137" s="8"/>
      <c r="O137" s="7"/>
      <c r="P137" s="51"/>
    </row>
    <row r="138" spans="1:16">
      <c r="A138" s="45"/>
      <c r="B138" s="45"/>
      <c r="J138" s="2"/>
      <c r="M138" s="8"/>
      <c r="N138" s="8"/>
      <c r="O138" s="7"/>
      <c r="P138" s="51"/>
    </row>
    <row r="139" spans="1:16">
      <c r="A139" s="45"/>
      <c r="B139" s="45"/>
      <c r="J139" s="2"/>
      <c r="M139" s="8"/>
      <c r="N139" s="8"/>
      <c r="O139" s="7"/>
      <c r="P139" s="51"/>
    </row>
    <row r="140" spans="1:16">
      <c r="A140" s="45"/>
      <c r="B140" s="45"/>
      <c r="J140" s="2"/>
      <c r="M140" s="8"/>
      <c r="N140" s="8"/>
      <c r="O140" s="7"/>
      <c r="P140" s="51"/>
    </row>
    <row r="141" spans="1:16">
      <c r="A141" s="45"/>
      <c r="B141" s="45"/>
      <c r="J141" s="2"/>
      <c r="M141" s="8"/>
      <c r="N141" s="8"/>
      <c r="O141" s="7"/>
      <c r="P141" s="51"/>
    </row>
    <row r="142" spans="1:16">
      <c r="A142" s="45"/>
      <c r="B142" s="45"/>
      <c r="J142" s="2"/>
      <c r="M142" s="8"/>
      <c r="N142" s="8"/>
      <c r="O142" s="7"/>
      <c r="P142" s="51"/>
    </row>
    <row r="143" spans="1:16">
      <c r="A143" s="45"/>
      <c r="B143" s="45"/>
      <c r="J143" s="2"/>
      <c r="M143" s="8"/>
      <c r="N143" s="8"/>
      <c r="O143" s="7"/>
      <c r="P143" s="51"/>
    </row>
    <row r="144" spans="1:16">
      <c r="A144" s="45"/>
      <c r="B144" s="45"/>
      <c r="J144" s="2"/>
      <c r="M144" s="8"/>
      <c r="N144" s="8"/>
      <c r="O144" s="7"/>
      <c r="P144" s="51"/>
    </row>
    <row r="145" spans="1:16">
      <c r="A145" s="45"/>
      <c r="B145" s="45"/>
      <c r="J145" s="2"/>
      <c r="M145" s="8"/>
      <c r="N145" s="8"/>
      <c r="O145" s="7"/>
      <c r="P145" s="51"/>
    </row>
    <row r="146" spans="1:16">
      <c r="A146" s="45"/>
      <c r="B146" s="45"/>
      <c r="J146" s="2"/>
      <c r="M146" s="8"/>
      <c r="N146" s="8"/>
      <c r="O146" s="7"/>
      <c r="P146" s="51"/>
    </row>
    <row r="147" spans="1:16">
      <c r="A147" s="45"/>
      <c r="B147" s="45"/>
      <c r="J147" s="2"/>
      <c r="M147" s="8"/>
      <c r="N147" s="8"/>
      <c r="O147" s="7"/>
      <c r="P147" s="51"/>
    </row>
    <row r="148" spans="1:16">
      <c r="A148" s="45"/>
      <c r="B148" s="45"/>
      <c r="J148" s="2"/>
      <c r="M148" s="8"/>
      <c r="N148" s="8"/>
      <c r="O148" s="7"/>
      <c r="P148" s="51"/>
    </row>
    <row r="149" spans="1:16">
      <c r="A149" s="45"/>
      <c r="B149" s="45"/>
      <c r="J149" s="2"/>
      <c r="M149" s="8"/>
      <c r="N149" s="8"/>
      <c r="O149" s="7"/>
      <c r="P149" s="51"/>
    </row>
    <row r="150" spans="1:16">
      <c r="A150" s="45"/>
      <c r="B150" s="45"/>
      <c r="J150" s="2"/>
      <c r="M150" s="8"/>
      <c r="N150" s="8"/>
      <c r="O150" s="7"/>
      <c r="P150" s="51"/>
    </row>
    <row r="151" spans="1:16">
      <c r="A151" s="45"/>
      <c r="B151" s="45"/>
      <c r="J151" s="2"/>
      <c r="M151" s="8"/>
      <c r="N151" s="8"/>
      <c r="O151" s="7"/>
      <c r="P151" s="51"/>
    </row>
    <row r="152" spans="1:16">
      <c r="A152" s="45"/>
      <c r="B152" s="45"/>
      <c r="J152" s="2"/>
      <c r="M152" s="8"/>
      <c r="N152" s="8"/>
      <c r="O152" s="7"/>
      <c r="P152" s="51"/>
    </row>
    <row r="153" spans="1:16">
      <c r="A153" s="45"/>
      <c r="B153" s="45"/>
      <c r="J153" s="2"/>
      <c r="M153" s="8"/>
      <c r="N153" s="8"/>
      <c r="O153" s="7"/>
      <c r="P153" s="51"/>
    </row>
    <row r="154" spans="1:16">
      <c r="A154" s="45"/>
      <c r="B154" s="45"/>
      <c r="J154" s="2"/>
      <c r="M154" s="8"/>
      <c r="N154" s="8"/>
      <c r="O154" s="7"/>
      <c r="P154" s="51"/>
    </row>
    <row r="155" spans="1:16">
      <c r="A155" s="45"/>
      <c r="B155" s="45"/>
      <c r="J155" s="2"/>
      <c r="M155" s="8"/>
      <c r="N155" s="8"/>
      <c r="O155" s="7"/>
      <c r="P155" s="51"/>
    </row>
    <row r="156" spans="1:16">
      <c r="A156" s="45"/>
      <c r="B156" s="45"/>
      <c r="J156" s="2"/>
      <c r="M156" s="8"/>
      <c r="N156" s="8"/>
      <c r="O156" s="7"/>
      <c r="P156" s="51"/>
    </row>
    <row r="157" spans="1:16">
      <c r="A157" s="45"/>
      <c r="B157" s="45"/>
      <c r="J157" s="2"/>
      <c r="M157" s="8"/>
      <c r="N157" s="8"/>
      <c r="O157" s="7"/>
      <c r="P157" s="51"/>
    </row>
    <row r="158" spans="1:16">
      <c r="A158" s="45"/>
      <c r="B158" s="45"/>
      <c r="J158" s="2"/>
      <c r="M158" s="8"/>
      <c r="N158" s="8"/>
      <c r="O158" s="7"/>
      <c r="P158" s="51"/>
    </row>
    <row r="159" spans="1:16">
      <c r="A159" s="45"/>
      <c r="B159" s="45"/>
      <c r="J159" s="2"/>
      <c r="M159" s="8"/>
      <c r="N159" s="8"/>
      <c r="O159" s="7"/>
      <c r="P159" s="51"/>
    </row>
    <row r="160" spans="1:16">
      <c r="A160" s="45"/>
      <c r="B160" s="45"/>
      <c r="J160" s="2"/>
      <c r="M160" s="8"/>
      <c r="N160" s="8"/>
      <c r="O160" s="7"/>
      <c r="P160" s="51"/>
    </row>
    <row r="161" spans="1:16">
      <c r="A161" s="45"/>
      <c r="B161" s="45"/>
      <c r="J161" s="2"/>
      <c r="M161" s="8"/>
      <c r="N161" s="8"/>
      <c r="O161" s="7"/>
      <c r="P161" s="51"/>
    </row>
    <row r="162" spans="1:16">
      <c r="A162" s="45"/>
      <c r="B162" s="45"/>
      <c r="J162" s="2"/>
      <c r="M162" s="8"/>
      <c r="N162" s="8"/>
      <c r="O162" s="7"/>
      <c r="P162" s="51"/>
    </row>
    <row r="163" spans="1:16">
      <c r="A163" s="45"/>
      <c r="B163" s="45"/>
      <c r="J163" s="2"/>
      <c r="M163" s="8"/>
      <c r="N163" s="8"/>
      <c r="O163" s="7"/>
      <c r="P163" s="51"/>
    </row>
    <row r="164" spans="1:16">
      <c r="A164" s="45"/>
      <c r="B164" s="45"/>
      <c r="J164" s="2"/>
      <c r="M164" s="8"/>
      <c r="N164" s="8"/>
      <c r="O164" s="7"/>
      <c r="P164" s="51"/>
    </row>
    <row r="165" spans="1:16">
      <c r="A165" s="45"/>
      <c r="B165" s="45"/>
      <c r="J165" s="2"/>
      <c r="M165" s="8"/>
      <c r="N165" s="8"/>
      <c r="O165" s="7"/>
      <c r="P165" s="51"/>
    </row>
    <row r="166" spans="1:16">
      <c r="A166" s="45"/>
      <c r="B166" s="45"/>
      <c r="J166" s="2"/>
      <c r="M166" s="8"/>
      <c r="N166" s="8"/>
      <c r="O166" s="7"/>
      <c r="P166" s="51"/>
    </row>
    <row r="167" spans="1:16">
      <c r="A167" s="45"/>
      <c r="B167" s="45"/>
      <c r="J167" s="2"/>
      <c r="M167" s="8"/>
      <c r="N167" s="8"/>
      <c r="O167" s="7"/>
      <c r="P167" s="51"/>
    </row>
    <row r="168" spans="1:16">
      <c r="A168" s="45"/>
      <c r="B168" s="45"/>
      <c r="J168" s="2"/>
      <c r="M168" s="8"/>
      <c r="N168" s="8"/>
      <c r="O168" s="7"/>
      <c r="P168" s="51"/>
    </row>
    <row r="169" spans="1:16">
      <c r="A169" s="45"/>
      <c r="B169" s="45"/>
      <c r="J169" s="2"/>
      <c r="M169" s="8"/>
      <c r="N169" s="8"/>
      <c r="O169" s="7"/>
      <c r="P169" s="51"/>
    </row>
    <row r="170" spans="1:16">
      <c r="A170" s="45"/>
      <c r="B170" s="45"/>
      <c r="J170" s="2"/>
      <c r="M170" s="8"/>
      <c r="N170" s="8"/>
      <c r="O170" s="7"/>
      <c r="P170" s="51"/>
    </row>
    <row r="171" spans="1:16">
      <c r="A171" s="45"/>
      <c r="B171" s="45"/>
      <c r="J171" s="2"/>
      <c r="M171" s="8"/>
      <c r="N171" s="8"/>
      <c r="O171" s="7"/>
      <c r="P171" s="51"/>
    </row>
    <row r="172" spans="1:16">
      <c r="A172" s="45"/>
      <c r="B172" s="45"/>
      <c r="J172" s="2"/>
      <c r="M172" s="8"/>
      <c r="N172" s="8"/>
      <c r="O172" s="7"/>
      <c r="P172" s="51"/>
    </row>
    <row r="173" spans="1:16">
      <c r="A173" s="45"/>
      <c r="B173" s="45"/>
      <c r="J173" s="2"/>
      <c r="M173" s="8"/>
      <c r="N173" s="8"/>
      <c r="O173" s="7"/>
      <c r="P173" s="51"/>
    </row>
    <row r="174" spans="1:16">
      <c r="A174" s="45"/>
      <c r="B174" s="45"/>
      <c r="J174" s="2"/>
      <c r="M174" s="8"/>
      <c r="N174" s="8"/>
      <c r="O174" s="7"/>
      <c r="P174" s="51"/>
    </row>
    <row r="175" spans="1:16">
      <c r="A175" s="45"/>
      <c r="B175" s="45"/>
      <c r="J175" s="2"/>
      <c r="M175" s="8"/>
      <c r="N175" s="8"/>
      <c r="O175" s="7"/>
      <c r="P175" s="51"/>
    </row>
    <row r="176" spans="1:16">
      <c r="A176" s="45"/>
      <c r="B176" s="45"/>
      <c r="J176" s="2"/>
      <c r="M176" s="8"/>
      <c r="N176" s="8"/>
      <c r="O176" s="7"/>
      <c r="P176" s="51"/>
    </row>
    <row r="177" spans="1:16">
      <c r="A177" s="45"/>
      <c r="B177" s="45"/>
      <c r="J177" s="2"/>
      <c r="M177" s="8"/>
      <c r="N177" s="8"/>
      <c r="O177" s="7"/>
      <c r="P177" s="51"/>
    </row>
    <row r="178" spans="1:16">
      <c r="A178" s="45"/>
      <c r="B178" s="45"/>
      <c r="J178" s="2"/>
      <c r="M178" s="8"/>
      <c r="N178" s="8"/>
      <c r="O178" s="7"/>
      <c r="P178" s="51"/>
    </row>
    <row r="179" spans="1:16">
      <c r="A179" s="45"/>
      <c r="B179" s="45"/>
      <c r="J179" s="2"/>
      <c r="M179" s="8"/>
      <c r="N179" s="8"/>
      <c r="O179" s="7"/>
      <c r="P179" s="51"/>
    </row>
    <row r="180" spans="1:16">
      <c r="A180" s="45"/>
      <c r="B180" s="45"/>
      <c r="J180" s="2"/>
      <c r="M180" s="8"/>
      <c r="N180" s="8"/>
      <c r="O180" s="7"/>
      <c r="P180" s="51"/>
    </row>
    <row r="181" spans="1:16">
      <c r="A181" s="45"/>
      <c r="B181" s="45"/>
      <c r="J181" s="2"/>
      <c r="M181" s="8"/>
      <c r="N181" s="8"/>
      <c r="O181" s="7"/>
      <c r="P181" s="51"/>
    </row>
    <row r="182" spans="1:16">
      <c r="A182" s="45"/>
      <c r="B182" s="45"/>
      <c r="J182" s="2"/>
      <c r="M182" s="8"/>
      <c r="N182" s="8"/>
      <c r="O182" s="7"/>
      <c r="P182" s="51"/>
    </row>
    <row r="183" spans="1:16">
      <c r="A183" s="45"/>
      <c r="B183" s="45"/>
      <c r="J183" s="2"/>
      <c r="M183" s="8"/>
      <c r="N183" s="8"/>
      <c r="O183" s="7"/>
      <c r="P183" s="51"/>
    </row>
    <row r="184" spans="1:16">
      <c r="A184" s="45"/>
      <c r="B184" s="45"/>
      <c r="J184" s="2"/>
      <c r="M184" s="8"/>
      <c r="N184" s="8"/>
      <c r="O184" s="7"/>
      <c r="P184" s="51"/>
    </row>
    <row r="185" spans="1:16">
      <c r="A185" s="45"/>
      <c r="B185" s="45"/>
      <c r="J185" s="2"/>
      <c r="M185" s="8"/>
      <c r="N185" s="8"/>
      <c r="O185" s="7"/>
      <c r="P185" s="51"/>
    </row>
    <row r="186" spans="1:16">
      <c r="A186" s="45"/>
      <c r="B186" s="45"/>
      <c r="J186" s="2"/>
      <c r="M186" s="8"/>
      <c r="N186" s="8"/>
      <c r="O186" s="7"/>
      <c r="P186" s="51"/>
    </row>
    <row r="187" spans="1:16">
      <c r="A187" s="45"/>
      <c r="B187" s="45"/>
      <c r="J187" s="2"/>
      <c r="M187" s="8"/>
      <c r="N187" s="8"/>
      <c r="O187" s="7"/>
      <c r="P187" s="51"/>
    </row>
    <row r="188" spans="1:16">
      <c r="A188" s="45"/>
      <c r="B188" s="45"/>
      <c r="J188" s="2"/>
      <c r="M188" s="8"/>
      <c r="N188" s="8"/>
      <c r="O188" s="7"/>
      <c r="P188" s="51"/>
    </row>
    <row r="189" spans="1:16">
      <c r="A189" s="45"/>
      <c r="B189" s="45"/>
      <c r="J189" s="2"/>
      <c r="M189" s="8"/>
      <c r="N189" s="8"/>
      <c r="O189" s="7"/>
      <c r="P189" s="51"/>
    </row>
    <row r="190" spans="1:16">
      <c r="A190" s="45"/>
      <c r="B190" s="45"/>
      <c r="J190" s="2"/>
      <c r="M190" s="8"/>
      <c r="N190" s="8"/>
      <c r="O190" s="7"/>
      <c r="P190" s="51"/>
    </row>
    <row r="191" spans="1:16">
      <c r="A191" s="45"/>
      <c r="B191" s="45"/>
      <c r="J191" s="2"/>
      <c r="M191" s="8"/>
      <c r="N191" s="8"/>
      <c r="O191" s="7"/>
      <c r="P191" s="51"/>
    </row>
    <row r="192" spans="1:16">
      <c r="A192" s="45"/>
      <c r="B192" s="45"/>
      <c r="J192" s="2"/>
      <c r="M192" s="8"/>
      <c r="N192" s="8"/>
      <c r="O192" s="7"/>
      <c r="P192" s="51"/>
    </row>
    <row r="193" spans="1:16">
      <c r="A193" s="45"/>
      <c r="B193" s="45"/>
      <c r="J193" s="2"/>
      <c r="M193" s="8"/>
      <c r="N193" s="8"/>
      <c r="O193" s="7"/>
      <c r="P193" s="51"/>
    </row>
    <row r="194" spans="1:16">
      <c r="A194" s="45"/>
      <c r="B194" s="45"/>
      <c r="J194" s="2"/>
      <c r="M194" s="8"/>
      <c r="N194" s="8"/>
      <c r="O194" s="7"/>
      <c r="P194" s="51"/>
    </row>
    <row r="195" spans="1:16">
      <c r="A195" s="45"/>
      <c r="B195" s="45"/>
      <c r="J195" s="2"/>
      <c r="M195" s="8"/>
      <c r="N195" s="8"/>
      <c r="O195" s="7"/>
      <c r="P195" s="51"/>
    </row>
    <row r="196" spans="1:16">
      <c r="A196" s="45"/>
      <c r="B196" s="45"/>
      <c r="J196" s="2"/>
      <c r="M196" s="8"/>
      <c r="N196" s="8"/>
      <c r="O196" s="7"/>
      <c r="P196" s="51"/>
    </row>
    <row r="197" spans="1:16">
      <c r="A197" s="45"/>
      <c r="B197" s="45"/>
      <c r="J197" s="2"/>
      <c r="M197" s="8"/>
      <c r="N197" s="8"/>
      <c r="O197" s="7"/>
      <c r="P197" s="51"/>
    </row>
    <row r="198" spans="1:16">
      <c r="A198" s="45"/>
      <c r="B198" s="45"/>
      <c r="J198" s="2"/>
      <c r="M198" s="8"/>
      <c r="N198" s="8"/>
      <c r="O198" s="7"/>
      <c r="P198" s="51"/>
    </row>
    <row r="199" spans="1:16">
      <c r="A199" s="45"/>
      <c r="B199" s="45"/>
      <c r="J199" s="2"/>
      <c r="M199" s="8"/>
      <c r="N199" s="8"/>
      <c r="O199" s="7"/>
      <c r="P199" s="51"/>
    </row>
    <row r="200" spans="1:16">
      <c r="A200" s="45"/>
      <c r="B200" s="45"/>
      <c r="J200" s="2"/>
      <c r="M200" s="8"/>
      <c r="N200" s="8"/>
      <c r="O200" s="7"/>
      <c r="P200" s="51"/>
    </row>
    <row r="201" spans="1:16">
      <c r="A201" s="45"/>
      <c r="B201" s="45"/>
      <c r="J201" s="2"/>
      <c r="M201" s="8"/>
      <c r="N201" s="8"/>
      <c r="O201" s="7"/>
      <c r="P201" s="51"/>
    </row>
    <row r="202" spans="1:16">
      <c r="A202" s="45"/>
      <c r="B202" s="45"/>
      <c r="J202" s="2"/>
      <c r="M202" s="8"/>
      <c r="N202" s="8"/>
      <c r="O202" s="7"/>
      <c r="P202" s="51"/>
    </row>
    <row r="203" spans="1:16">
      <c r="A203" s="45"/>
      <c r="B203" s="45"/>
      <c r="J203" s="2"/>
      <c r="M203" s="8"/>
      <c r="N203" s="8"/>
      <c r="O203" s="7"/>
      <c r="P203" s="51"/>
    </row>
    <row r="204" spans="1:16">
      <c r="A204" s="45"/>
      <c r="B204" s="45"/>
      <c r="J204" s="2"/>
      <c r="M204" s="8"/>
      <c r="N204" s="8"/>
      <c r="P204" s="51"/>
    </row>
    <row r="205" spans="1:16">
      <c r="A205" s="45"/>
      <c r="B205" s="45"/>
      <c r="J205" s="2"/>
      <c r="M205" s="8"/>
      <c r="N205" s="8"/>
      <c r="P205" s="51"/>
    </row>
    <row r="206" spans="1:16">
      <c r="A206" s="45"/>
      <c r="B206" s="45"/>
      <c r="J206" s="2"/>
      <c r="M206" s="8"/>
      <c r="N206" s="8"/>
      <c r="P206" s="51"/>
    </row>
    <row r="207" spans="1:16">
      <c r="A207" s="45"/>
      <c r="B207" s="45"/>
      <c r="J207" s="2"/>
      <c r="M207" s="8"/>
      <c r="N207" s="8"/>
      <c r="P207" s="51"/>
    </row>
    <row r="208" spans="1:16">
      <c r="A208" s="45"/>
      <c r="B208" s="45"/>
      <c r="J208" s="2"/>
      <c r="M208" s="8"/>
      <c r="N208" s="8"/>
      <c r="P208" s="51"/>
    </row>
    <row r="209" spans="1:16">
      <c r="A209" s="45"/>
      <c r="B209" s="45"/>
      <c r="J209" s="2"/>
      <c r="M209" s="8"/>
      <c r="N209" s="8"/>
      <c r="P209" s="51"/>
    </row>
    <row r="210" spans="1:16">
      <c r="A210" s="45"/>
      <c r="B210" s="45"/>
      <c r="J210" s="2"/>
      <c r="M210" s="8"/>
      <c r="N210" s="8"/>
      <c r="P210" s="51"/>
    </row>
    <row r="211" spans="1:16">
      <c r="A211" s="45"/>
      <c r="B211" s="45"/>
      <c r="J211" s="2"/>
      <c r="M211" s="8"/>
      <c r="N211" s="8"/>
      <c r="P211" s="51"/>
    </row>
    <row r="212" spans="1:16">
      <c r="A212" s="45"/>
      <c r="B212" s="45"/>
      <c r="J212" s="2"/>
      <c r="M212" s="8"/>
      <c r="N212" s="8"/>
      <c r="P212" s="51"/>
    </row>
    <row r="213" spans="1:16">
      <c r="A213" s="45"/>
      <c r="B213" s="45"/>
      <c r="J213" s="2"/>
      <c r="M213" s="8"/>
      <c r="N213" s="8"/>
      <c r="P213" s="51"/>
    </row>
    <row r="214" spans="1:16">
      <c r="A214" s="45"/>
      <c r="B214" s="45"/>
      <c r="J214" s="2"/>
      <c r="M214" s="8"/>
      <c r="N214" s="8"/>
      <c r="P214" s="51"/>
    </row>
    <row r="215" spans="1:16">
      <c r="A215" s="45"/>
      <c r="B215" s="45"/>
      <c r="J215" s="2"/>
      <c r="M215" s="8"/>
      <c r="N215" s="8"/>
      <c r="P215" s="51"/>
    </row>
    <row r="216" spans="1:16">
      <c r="A216" s="45"/>
      <c r="B216" s="45"/>
      <c r="J216" s="2"/>
      <c r="M216" s="8"/>
      <c r="N216" s="8"/>
      <c r="P216" s="51"/>
    </row>
    <row r="217" spans="1:16">
      <c r="A217" s="45"/>
      <c r="B217" s="45"/>
      <c r="J217" s="2"/>
      <c r="M217" s="8"/>
      <c r="N217" s="8"/>
      <c r="P217" s="51"/>
    </row>
    <row r="218" spans="1:16">
      <c r="A218" s="45"/>
      <c r="B218" s="45"/>
      <c r="J218" s="2"/>
      <c r="M218" s="8"/>
      <c r="N218" s="8"/>
      <c r="P218" s="51"/>
    </row>
    <row r="219" spans="1:16">
      <c r="A219" s="45"/>
      <c r="B219" s="45"/>
      <c r="J219" s="2"/>
      <c r="M219" s="8"/>
      <c r="N219" s="8"/>
      <c r="P219" s="51"/>
    </row>
    <row r="220" spans="1:16">
      <c r="A220" s="45"/>
      <c r="B220" s="45"/>
      <c r="J220" s="2"/>
      <c r="M220" s="8"/>
      <c r="N220" s="8"/>
      <c r="P220" s="51"/>
    </row>
    <row r="221" spans="1:16">
      <c r="A221" s="45"/>
      <c r="B221" s="45"/>
      <c r="J221" s="2"/>
      <c r="M221" s="8"/>
      <c r="N221" s="8"/>
      <c r="P221" s="51"/>
    </row>
    <row r="222" spans="1:16">
      <c r="A222" s="45"/>
      <c r="B222" s="45"/>
      <c r="J222" s="2"/>
      <c r="M222" s="8"/>
      <c r="N222" s="8"/>
      <c r="P222" s="51"/>
    </row>
    <row r="223" spans="1:16">
      <c r="A223" s="45"/>
      <c r="B223" s="45"/>
      <c r="J223" s="2"/>
      <c r="M223" s="8"/>
      <c r="N223" s="8"/>
      <c r="P223" s="51"/>
    </row>
    <row r="224" spans="1:16">
      <c r="A224" s="45"/>
      <c r="B224" s="45"/>
      <c r="J224" s="2"/>
      <c r="M224" s="8"/>
      <c r="N224" s="8"/>
      <c r="P224" s="51"/>
    </row>
    <row r="225" spans="1:16">
      <c r="A225" s="45"/>
      <c r="B225" s="45"/>
      <c r="J225" s="2"/>
      <c r="M225" s="8"/>
      <c r="N225" s="8"/>
      <c r="P225" s="51"/>
    </row>
    <row r="226" spans="1:16">
      <c r="A226" s="45"/>
      <c r="B226" s="45"/>
      <c r="J226" s="2"/>
      <c r="M226" s="8"/>
      <c r="N226" s="8"/>
      <c r="P226" s="51"/>
    </row>
    <row r="227" spans="1:16">
      <c r="A227" s="45"/>
      <c r="B227" s="45"/>
      <c r="J227" s="2"/>
      <c r="M227" s="8"/>
      <c r="N227" s="8"/>
      <c r="P227" s="51"/>
    </row>
    <row r="228" spans="1:16">
      <c r="A228" s="45"/>
      <c r="B228" s="45"/>
      <c r="J228" s="2"/>
      <c r="M228" s="8"/>
      <c r="N228" s="8"/>
      <c r="P228" s="51"/>
    </row>
    <row r="229" spans="1:16">
      <c r="A229" s="45"/>
      <c r="B229" s="45"/>
      <c r="J229" s="2"/>
      <c r="M229" s="8"/>
      <c r="N229" s="8"/>
      <c r="P229" s="51"/>
    </row>
    <row r="230" spans="1:16">
      <c r="A230" s="45"/>
      <c r="B230" s="45"/>
      <c r="J230" s="2"/>
      <c r="M230" s="8"/>
      <c r="N230" s="8"/>
      <c r="P230" s="51"/>
    </row>
    <row r="231" spans="1:16">
      <c r="A231" s="45"/>
      <c r="B231" s="45"/>
      <c r="J231" s="2"/>
      <c r="M231" s="8"/>
      <c r="N231" s="8"/>
      <c r="P231" s="51"/>
    </row>
    <row r="232" spans="1:16">
      <c r="A232" s="45"/>
      <c r="B232" s="45"/>
      <c r="J232" s="2"/>
      <c r="M232" s="8"/>
      <c r="N232" s="8"/>
      <c r="P232" s="51"/>
    </row>
    <row r="233" spans="1:16">
      <c r="A233" s="45"/>
      <c r="B233" s="45"/>
      <c r="J233" s="2"/>
      <c r="M233" s="8"/>
      <c r="N233" s="10"/>
      <c r="P233" s="51"/>
    </row>
    <row r="234" spans="1:16">
      <c r="A234" s="45"/>
      <c r="B234" s="45"/>
      <c r="J234" s="2"/>
      <c r="M234" s="8"/>
      <c r="N234" s="10"/>
      <c r="P234" s="51"/>
    </row>
    <row r="235" spans="1:16">
      <c r="A235" s="45"/>
      <c r="B235" s="45"/>
      <c r="J235" s="2"/>
      <c r="M235" s="8"/>
      <c r="N235" s="10"/>
      <c r="P235" s="51"/>
    </row>
    <row r="236" spans="1:16">
      <c r="A236" s="45"/>
      <c r="B236" s="45"/>
      <c r="J236" s="2"/>
      <c r="M236" s="8"/>
      <c r="N236" s="10"/>
      <c r="P236" s="51"/>
    </row>
    <row r="237" spans="1:16">
      <c r="A237" s="45"/>
      <c r="B237" s="45"/>
      <c r="J237" s="2"/>
      <c r="M237" s="8"/>
      <c r="N237" s="10"/>
      <c r="P237" s="51"/>
    </row>
    <row r="238" spans="1:16">
      <c r="A238" s="45"/>
      <c r="B238" s="45"/>
      <c r="J238" s="2"/>
      <c r="M238" s="8"/>
      <c r="N238" s="10"/>
      <c r="P238" s="51"/>
    </row>
    <row r="239" spans="1:16">
      <c r="A239" s="45"/>
      <c r="B239" s="45"/>
      <c r="J239" s="2"/>
      <c r="M239" s="8"/>
      <c r="N239" s="10"/>
      <c r="P239" s="51"/>
    </row>
    <row r="240" spans="1:16">
      <c r="A240" s="45"/>
      <c r="B240" s="45"/>
      <c r="J240" s="2"/>
      <c r="M240" s="8"/>
      <c r="N240" s="10"/>
      <c r="P240" s="51"/>
    </row>
    <row r="241" spans="1:16">
      <c r="A241" s="45"/>
      <c r="B241" s="45"/>
      <c r="J241" s="2"/>
      <c r="M241" s="8"/>
      <c r="N241" s="10"/>
      <c r="P241" s="51"/>
    </row>
    <row r="242" spans="1:16">
      <c r="A242" s="45"/>
      <c r="B242" s="45"/>
      <c r="J242" s="2"/>
      <c r="M242" s="8"/>
      <c r="N242" s="10"/>
      <c r="P242" s="51"/>
    </row>
    <row r="243" spans="1:16">
      <c r="A243" s="45"/>
      <c r="B243" s="45"/>
      <c r="J243" s="2"/>
      <c r="M243" s="8"/>
      <c r="N243" s="10"/>
      <c r="P243" s="51"/>
    </row>
    <row r="244" spans="1:16">
      <c r="A244" s="45"/>
      <c r="B244" s="45"/>
      <c r="J244" s="2"/>
      <c r="M244" s="8"/>
      <c r="N244" s="10"/>
      <c r="P244" s="51"/>
    </row>
    <row r="245" spans="1:16">
      <c r="A245" s="45"/>
      <c r="B245" s="45"/>
      <c r="J245" s="2"/>
      <c r="M245" s="8"/>
      <c r="N245" s="10"/>
      <c r="P245" s="51"/>
    </row>
    <row r="246" spans="1:16">
      <c r="A246" s="45"/>
      <c r="B246" s="45"/>
      <c r="J246" s="2"/>
      <c r="M246" s="8"/>
      <c r="N246" s="10"/>
      <c r="P246" s="51"/>
    </row>
    <row r="247" spans="1:16">
      <c r="A247" s="45"/>
      <c r="B247" s="45"/>
      <c r="J247" s="2"/>
      <c r="M247" s="8"/>
      <c r="N247" s="10"/>
      <c r="P247" s="51"/>
    </row>
    <row r="248" spans="1:16">
      <c r="A248" s="45"/>
      <c r="B248" s="45"/>
      <c r="J248" s="2"/>
      <c r="M248" s="8"/>
      <c r="N248" s="10"/>
      <c r="P248" s="51"/>
    </row>
    <row r="249" spans="1:16">
      <c r="A249" s="45"/>
      <c r="B249" s="45"/>
      <c r="J249" s="2"/>
      <c r="M249" s="8"/>
      <c r="N249" s="10"/>
      <c r="P249" s="51"/>
    </row>
    <row r="250" spans="1:16">
      <c r="A250" s="45"/>
      <c r="B250" s="45"/>
      <c r="J250" s="2"/>
      <c r="M250" s="8"/>
      <c r="N250" s="10"/>
      <c r="P250" s="51"/>
    </row>
    <row r="251" spans="1:16">
      <c r="A251" s="45"/>
      <c r="B251" s="45"/>
      <c r="J251" s="2"/>
      <c r="M251" s="8"/>
      <c r="N251" s="10"/>
      <c r="P251" s="51"/>
    </row>
    <row r="252" spans="1:16">
      <c r="A252" s="45"/>
      <c r="B252" s="45"/>
      <c r="J252" s="2"/>
      <c r="M252" s="8"/>
      <c r="N252" s="10"/>
      <c r="P252" s="51"/>
    </row>
    <row r="253" spans="1:16">
      <c r="A253" s="45"/>
      <c r="B253" s="45"/>
      <c r="J253" s="2"/>
      <c r="M253" s="8"/>
      <c r="N253" s="10"/>
      <c r="P253" s="51"/>
    </row>
    <row r="254" spans="1:16">
      <c r="A254" s="45"/>
      <c r="B254" s="45"/>
      <c r="J254" s="2"/>
      <c r="M254" s="8"/>
      <c r="N254" s="10"/>
      <c r="P254" s="51"/>
    </row>
    <row r="255" spans="1:16">
      <c r="A255" s="45"/>
      <c r="B255" s="45"/>
      <c r="J255" s="2"/>
      <c r="M255" s="8"/>
      <c r="N255" s="10"/>
      <c r="P255" s="51"/>
    </row>
    <row r="256" spans="1:16">
      <c r="A256" s="45"/>
      <c r="B256" s="45"/>
      <c r="J256" s="2"/>
      <c r="M256" s="8"/>
      <c r="N256" s="10"/>
      <c r="P256" s="51"/>
    </row>
    <row r="257" spans="1:16">
      <c r="A257" s="45"/>
      <c r="B257" s="45"/>
      <c r="J257" s="2"/>
      <c r="M257" s="8"/>
      <c r="N257" s="10"/>
      <c r="P257" s="51"/>
    </row>
    <row r="258" spans="1:16">
      <c r="A258" s="45"/>
      <c r="B258" s="45"/>
      <c r="J258" s="2"/>
      <c r="M258" s="8"/>
      <c r="N258" s="10"/>
      <c r="P258" s="51"/>
    </row>
    <row r="259" spans="1:16">
      <c r="A259" s="45"/>
      <c r="B259" s="45"/>
      <c r="J259" s="2"/>
      <c r="M259" s="8"/>
      <c r="N259" s="10"/>
      <c r="P259" s="51"/>
    </row>
    <row r="260" spans="1:16">
      <c r="A260" s="45"/>
      <c r="B260" s="45"/>
      <c r="J260" s="2"/>
      <c r="M260" s="8"/>
      <c r="N260" s="10"/>
      <c r="P260" s="51"/>
    </row>
    <row r="261" spans="1:16">
      <c r="A261" s="45"/>
      <c r="B261" s="45"/>
      <c r="J261" s="2"/>
      <c r="M261" s="8"/>
      <c r="N261" s="10"/>
      <c r="P261" s="51"/>
    </row>
    <row r="262" spans="1:16">
      <c r="A262" s="45"/>
      <c r="B262" s="45"/>
      <c r="J262" s="2"/>
      <c r="M262" s="8"/>
      <c r="N262" s="10"/>
      <c r="P262" s="51"/>
    </row>
    <row r="263" spans="1:16">
      <c r="A263" s="45"/>
      <c r="B263" s="45"/>
      <c r="J263" s="2"/>
      <c r="M263" s="8"/>
      <c r="N263" s="10"/>
      <c r="P263" s="51"/>
    </row>
    <row r="264" spans="1:16">
      <c r="A264" s="45"/>
      <c r="B264" s="45"/>
      <c r="J264" s="2"/>
      <c r="M264" s="8"/>
      <c r="N264" s="10"/>
      <c r="P264" s="51"/>
    </row>
    <row r="265" spans="1:16">
      <c r="A265" s="45"/>
      <c r="B265" s="45"/>
      <c r="J265" s="2"/>
      <c r="M265" s="8"/>
      <c r="N265" s="10"/>
      <c r="P265" s="51"/>
    </row>
    <row r="266" spans="1:16">
      <c r="A266" s="45"/>
      <c r="B266" s="45"/>
      <c r="J266" s="2"/>
      <c r="M266" s="8"/>
      <c r="N266" s="10"/>
      <c r="P266" s="51"/>
    </row>
    <row r="267" spans="1:16">
      <c r="A267" s="45"/>
      <c r="B267" s="45"/>
      <c r="J267" s="2"/>
      <c r="M267" s="8"/>
      <c r="N267" s="10"/>
      <c r="P267" s="51"/>
    </row>
    <row r="268" spans="1:16">
      <c r="A268" s="45"/>
      <c r="B268" s="45"/>
      <c r="J268" s="2"/>
      <c r="M268" s="8"/>
      <c r="N268" s="10"/>
      <c r="P268" s="51"/>
    </row>
    <row r="269" spans="1:16">
      <c r="A269" s="45"/>
      <c r="B269" s="45"/>
      <c r="J269" s="2"/>
      <c r="M269" s="8"/>
      <c r="N269" s="10"/>
      <c r="P269" s="51"/>
    </row>
    <row r="270" spans="1:16">
      <c r="A270" s="45"/>
      <c r="B270" s="45"/>
      <c r="J270" s="2"/>
      <c r="M270" s="8"/>
      <c r="N270" s="10"/>
      <c r="P270" s="51"/>
    </row>
    <row r="271" spans="1:16">
      <c r="A271" s="45"/>
      <c r="B271" s="45"/>
      <c r="J271" s="2"/>
      <c r="M271" s="8"/>
      <c r="N271" s="10"/>
      <c r="P271" s="51"/>
    </row>
    <row r="272" spans="1:16">
      <c r="A272" s="45"/>
      <c r="B272" s="45"/>
      <c r="J272" s="2"/>
      <c r="M272" s="8"/>
      <c r="N272" s="10"/>
      <c r="P272" s="51"/>
    </row>
    <row r="273" spans="1:16">
      <c r="A273" s="45"/>
      <c r="B273" s="45"/>
      <c r="J273" s="2"/>
      <c r="M273" s="8"/>
      <c r="N273" s="10"/>
      <c r="P273" s="51"/>
    </row>
    <row r="274" spans="1:16">
      <c r="A274" s="45"/>
      <c r="B274" s="45"/>
      <c r="J274" s="2"/>
      <c r="M274" s="8"/>
      <c r="N274" s="10"/>
      <c r="P274" s="51"/>
    </row>
    <row r="275" spans="1:16">
      <c r="A275" s="45"/>
      <c r="B275" s="45"/>
      <c r="J275" s="2"/>
      <c r="M275" s="8"/>
      <c r="N275" s="10"/>
      <c r="P275" s="51"/>
    </row>
    <row r="276" spans="1:16">
      <c r="A276" s="45"/>
      <c r="B276" s="45"/>
      <c r="J276" s="2"/>
      <c r="M276" s="8"/>
      <c r="N276" s="10"/>
      <c r="P276" s="51"/>
    </row>
    <row r="277" spans="1:16">
      <c r="A277" s="45"/>
      <c r="B277" s="45"/>
      <c r="J277" s="2"/>
      <c r="M277" s="8"/>
      <c r="N277" s="10"/>
      <c r="P277" s="51"/>
    </row>
    <row r="278" spans="1:16">
      <c r="A278" s="45"/>
      <c r="B278" s="45"/>
      <c r="J278" s="2"/>
      <c r="M278" s="8"/>
      <c r="N278" s="10"/>
      <c r="P278" s="51"/>
    </row>
    <row r="279" spans="1:16">
      <c r="A279" s="45"/>
      <c r="B279" s="45"/>
      <c r="J279" s="2"/>
      <c r="M279" s="8"/>
      <c r="N279" s="10"/>
      <c r="P279" s="51"/>
    </row>
    <row r="280" spans="1:16">
      <c r="A280" s="45"/>
      <c r="B280" s="45"/>
      <c r="J280" s="2"/>
      <c r="M280" s="8"/>
      <c r="N280" s="10"/>
      <c r="P280" s="51"/>
    </row>
    <row r="281" spans="1:16">
      <c r="A281" s="45"/>
      <c r="B281" s="45"/>
      <c r="J281" s="2"/>
      <c r="M281" s="8"/>
      <c r="N281" s="10"/>
      <c r="P281" s="51"/>
    </row>
    <row r="282" spans="1:16">
      <c r="A282" s="45"/>
      <c r="B282" s="45"/>
      <c r="J282" s="2"/>
      <c r="M282" s="8"/>
      <c r="N282" s="10"/>
      <c r="P282" s="51"/>
    </row>
    <row r="283" spans="1:16">
      <c r="A283" s="45"/>
      <c r="B283" s="45"/>
      <c r="J283" s="2"/>
      <c r="M283" s="8"/>
      <c r="N283" s="10"/>
      <c r="P283" s="51"/>
    </row>
    <row r="284" spans="1:16">
      <c r="A284" s="45"/>
      <c r="B284" s="45"/>
      <c r="J284" s="2"/>
      <c r="M284" s="8"/>
      <c r="N284" s="10"/>
      <c r="P284" s="51"/>
    </row>
    <row r="285" spans="1:16">
      <c r="A285" s="56"/>
      <c r="B285" s="56"/>
      <c r="C285" s="57"/>
      <c r="D285" s="57"/>
      <c r="E285" s="57"/>
      <c r="F285" s="57"/>
      <c r="G285" s="57"/>
      <c r="H285" s="57"/>
      <c r="I285" s="57"/>
      <c r="J285" s="57"/>
      <c r="K285" s="58"/>
      <c r="L285" s="58"/>
      <c r="M285" s="58"/>
      <c r="N285" s="59"/>
      <c r="O285" s="57"/>
      <c r="P285" s="60"/>
    </row>
  </sheetData>
  <hyperlinks>
    <hyperlink ref="K110" r:id="rId1" display="\\sa-dc2022\Cases\Customs matters\EAPA Database\Notices of Initiation &amp; Interim Measures\15135 Eastern Trading NY Inc. (“Eastern Trading”) (Notice of Initiation of Inv. &amp; Interim Measures Oct. 11, 2016).pdf" xr:uid="{ED17D49F-0292-49DF-B19D-BFD2E22A7E96}"/>
    <hyperlink ref="K2" r:id="rId2" display="\\sa-dc2022\Cases\Customs matters\EAPA Database\Notices of Initiation &amp; Interim Measures\7184 Diamond Tools Technology LLC (Notice of Initiation of Investigation).pdf" xr:uid="{D9586EBB-6BF7-4235-A707-AF8D47B97C92}"/>
    <hyperlink ref="K109" r:id="rId3" display="\\sa-dc2022\Cases\Customs matters\EAPA Database\Notices of Initiation &amp; Interim Measures\15134 Wheatland Tube (Notice of Non-Initiation of Inv.).pdf" xr:uid="{6CDE8840-532B-44FC-917A-2599BC52C09F}"/>
    <hyperlink ref="K3" r:id="rId4" display="\\sa-dc2022\Cases\Customs matters\EAPA Database\Notices of Initiation &amp; Interim Measures\7189 Aspects Furniture International, Inc. (Notice of Investigation and Interim Measures).pdf" xr:uid="{B994EB83-B0CD-419D-89A9-148913782ACF}"/>
    <hyperlink ref="L2" r:id="rId5" display="\\sa-dc2022\Cases\Customs matters\EAPA Database\Covered Merchandise Referrals\7184 Covered Merchandise Referral 11-21-2017.pdf" xr:uid="{D2ECE6A4-2ACF-437F-917E-4574C259AFA5}"/>
    <hyperlink ref="M110" r:id="rId6" display="\\sa-dc2022\Cases\Customs matters\EAPA Database\Notices of Determination\15135 Eastern Trading NY Inc. (“Eastern Trading”) (Notice of Determination, August 14, 2017).pdf" xr:uid="{54E32605-3555-4764-8F77-3DFDDE17CC22}"/>
    <hyperlink ref="K112" r:id="rId7" display="\\sa-dc2022\Cases\Customs matters\EAPA Database\Notices of Initiation &amp; Interim Measures\7191 Brooklyn Knights Trading Inc. (“Brooklyn Knights”), et al (Notice of Initiation of Investigation and Interim Measures, May 12, 2017).pdf" xr:uid="{2A296D3F-7367-4E0E-82DD-436F7160D0E1}"/>
    <hyperlink ref="M112" r:id="rId8" display="\\sa-dc2022\Cases\Customs matters\EAPA Database\Notices of Determination\7191 Brooklyn Knights Trading Inc. (“Brooklyn Knights”), et al (Notice of Determination, Mar. 15, 2018).pdf" xr:uid="{0B428EC4-66EC-4B37-98C1-B88746D2BFD7}"/>
    <hyperlink ref="K5" r:id="rId9" display="\\sa-dc2022\Cases\Customs matters\EAPA Database\Notices of Initiation &amp; Interim Measures\7205 Power Tek Tool, Inc, et al. (Notice of Initiation and Interim Measures, July 18, 2017).pdf" xr:uid="{B5924E39-8681-45F4-9C05-0C06BFA639A9}"/>
    <hyperlink ref="K4" r:id="rId10" display="\\sa-dc2022\Cases\Customs matters\EAPA Database\Notices of Initiation &amp; Interim Measures\7204 American Pacific Rubber, Inc. (“APAC”) (Notice of Investigation and Interim Measures, July 18, 2017).pdf" xr:uid="{90BCE159-7BB8-4FEC-A045-4128D18261BA}"/>
    <hyperlink ref="K6" r:id="rId11" display="\\sa-dc2022\Cases\Customs matters\EAPA Database\Notices of Initiation &amp; Interim Measures\7208 Geo Specialty Chemicas, Inc. (Notice of Investigation and Interim Measures, Aug. 28, 2017).pdf" xr:uid="{CA598D6D-2BD5-4BCD-BB6E-1650A3D0F189}"/>
    <hyperlink ref="K7" r:id="rId12" display="\\sa-dc2022\Cases\Customs matters\EAPA Database\Notices of Initiation &amp; Interim Measures\7227 Aluminum Extrusions Fair Trade Committee (Notice of Investigation and Interim Measures, Feb. 5, 2018).pdf" xr:uid="{E5CE3792-E86F-4859-8866-795F826EF3FD}"/>
    <hyperlink ref="K8" r:id="rId13" display="\\sa-dc2022\Cases\Customs matters\EAPA Database\Notices of Initiation &amp; Interim Measures\7232 Columbia Aluminum Products LLC (Notice of Investigation and Interim Measures, Feb. 8, 2018).pdf" xr:uid="{60BC7C9C-AE44-48D5-97A9-3378B12E46CB}"/>
    <hyperlink ref="K9" r:id="rId14" display="\\sa-dc2022\Cases\Customs matters\EAPA Database\Notices of Initiation &amp; Interim Measures\7238 Dixon Ticonderoga Company (“Dixon”) (Notice of Investigation and Interim Measures, Mar. 27, 2018).pdf" xr:uid="{A9FB7FE8-7277-4722-BBFA-97E59C943AA5}"/>
    <hyperlink ref="K10" r:id="rId15" display="\\sa-dc2022\Cases\Customs matters\EAPA Database\Notices of Initiation &amp; Interim Measures\7250 Diamond Sawblades Manufacturers’ Coalition (“DSMC”)(Notice of Investigation and Interim Measures, July 25, 2018).pdf" xr:uid="{F2EB5ECC-F54E-4930-9014-3B480F2D892E}"/>
    <hyperlink ref="K11" r:id="rId16" display="\\sa-dc2022\Cases\Customs matters\EAPA Database\Notices of Initiation &amp; Interim Measures\7251 Endura Products, Inc.’s (“Endura”) (Notice of Investigation and Interim Measures, Aug. 10, 2018).pdf" xr:uid="{1B795C6C-2939-4818-A373-F27417C42525}"/>
    <hyperlink ref="K12" r:id="rId17" display="\\sa-dc2022\Cases\Customs matters\EAPA Database\Notices of Initiation &amp; Interim Measures\7252 Plywood Source, LLP (Plywood Source) (Notice of Investigation and Interim Measures, Aug. 15, 2018).pdf" xr:uid="{89C2988F-6088-429E-BF19-0136DBCEB7A1}"/>
    <hyperlink ref="K13" r:id="rId18" display="\\sa-dc2022\Cases\Customs matters\EAPA Database\Notices of Initiation &amp; Interim Measures\7257 Core Pipe Products, Inc. (“Core Pipe”) (Notice of Investigation and Interim Measures, Aug. 30, 2018).pdf" xr:uid="{570D1F5E-AD60-44CA-851F-FC0D1FC68CA2}"/>
    <hyperlink ref="K14" r:id="rId19" display="\\sa-dc2022\Cases\Customs matters\EAPA Database\Notices of Initiation &amp; Interim Measures\7270 Salvi Chemical Industries Ltd. (“Salvi”) (Notice of Investigation and Interim Measures, Oct. 16, 2018).pdf" xr:uid="{F863F2FA-64D6-4B5B-9BD2-9D3D8F43ED22}"/>
    <hyperlink ref="K18" r:id="rId20" display="\\sa-dc2022\Cases\Customs matters\EAPA Database\Notices of Initiation &amp; Interim Measures\7297 Allied Group (“Allied”) (Notice of Investigation and Interim Measures, Mar. 21, 2019).pdf" xr:uid="{96F073FF-A4A2-46CC-AC75-76BA4979DD43}"/>
    <hyperlink ref="K17" r:id="rId21" display="\\sa-dc2022\Cases\Customs matters\EAPA Database\Notices of Initiation &amp; Interim Measures\7292 The Fresh Garlic Producers Association (“FPGA”) (Notice of Investigation and Interim Measures, Apr. 18, 2019).pdf" xr:uid="{4115288D-75D9-4203-8574-CACE549E4139}"/>
    <hyperlink ref="K15" r:id="rId22" display="\\sa-dc2022\Cases\Customs matters\EAPA Database\Notices of Initiation &amp; Interim Measures\7281 CP Kelco U.S., Inc. (Notice of Investigation and Interim Measures, May 7, 2019).pdf" xr:uid="{F64DF25C-3B26-43E5-BAC8-ADAED8F485BF}"/>
    <hyperlink ref="K16" r:id="rId23" display="\\sa-dc2022\Cases\Customs matters\EAPA Database\Notices of Initiation &amp; Interim Measures\7282 CP Kelco U.S., Inc. (Notice of Investigation and Interim Measures, Feb. 7, 2019).pdf" xr:uid="{D4E8CEFA-702E-4375-8F5E-57668DE87E6B}"/>
    <hyperlink ref="K19" r:id="rId24" display="\\sa-dc2022\Cases\Customs matters\EAPA Database\Notices of Initiation &amp; Interim Measures\7311 Apec International LLC (Apec) (Notice of Investigation and Interim Measures, Jul. 9, 2019).pdf" xr:uid="{2486B51F-4D52-44BC-95CF-6C47BA93460B}"/>
    <hyperlink ref="K20" r:id="rId25" display="\\sa-dc2022\Cases\Customs matters\EAPA Database\Notices of Initiation &amp; Interim Measures\7320 GEO Specialty Chemicals, Inc. (Notice of Investigation and Interim Measures, Jul. 17, 2019).pdf" xr:uid="{62574958-6187-4D37-873F-ECBE00E327BF}"/>
    <hyperlink ref="K21" r:id="rId26" display="\\sa-dc2022\Cases\Customs matters\EAPA Database\Notices of Initiation &amp; Interim Measures\7321 Coalition for Fair Trade of Hardwood Plywood (Notice of Investigation and Interim Measures, Jun. 26, 2019).pdf" xr:uid="{B89D1D63-7619-4616-9107-F64B53E45789}"/>
    <hyperlink ref="K23" r:id="rId27" display="\\sa-dc2022\Cases\Customs matters\EAPA Database\Notices of Initiation &amp; Interim Measures\7348 Ta Chen International Inc. (Notice of Investigation and Interim Measures, Oct. 31, 2019).pdf" xr:uid="{ED7B16FB-237F-4F99-B6F3-FCF18B44245E}"/>
    <hyperlink ref="K24" r:id="rId28" display="\\sa-dc2022\Cases\Customs matters\EAPA Database\Notices of Initiation &amp; Interim Measures\7352 Leggett &amp; Platt, Incorporated (Notice of Investigation and Interim Measures, Sep. 20, 2019).pdf" xr:uid="{E3A155EF-F9D5-4F62-ADA9-D4018018C0A0}"/>
    <hyperlink ref="K22" r:id="rId29" display="\\sa-dc2022\Cases\Customs matters\EAPA Database\Notices of Initiation &amp; Interim Measures\7335 Allied Group (Allied) (Notice of Investigation and Interim Measures, Nov. 5, 2019).pdf" xr:uid="{3025A38E-22BE-4F70-B4A2-8667AC73361F}"/>
    <hyperlink ref="L22" r:id="rId30" display="\\sa-dc2022\Cases\Customs matters\EAPA Database\Covered Merchandise Referrals\7335 Covered Merchandise Referral, Sep. 9, 2022.pdf" xr:uid="{62AF57CC-5FFA-4E93-BA15-F6C0C3303470}"/>
    <hyperlink ref="M22" r:id="rId31" display="\\sa-dc2022\Cases\Customs matters\EAPA Database\Notices of Determination\7335 Allied Group (Allied) (Notice of Determination as to Evasion, Nov. 6, 2020).pdf" xr:uid="{BA0693FB-2C3F-4CE3-B4E2-10F0AC089F1C}"/>
    <hyperlink ref="N22" r:id="rId32" display="\\sa-dc2022\Cases\Customs matters\EAPA Database\Administrative Reviews\7335 Allied Group (Allied) (Final Administrative Determination, Mar. 22, 2021).pdf" xr:uid="{522A0EFE-8B58-4D4E-9B08-C3EE7D14CBC2}"/>
    <hyperlink ref="M24" r:id="rId33" display="\\sa-dc2022\Cases\Customs matters\EAPA Database\Notices of Determination\7352 Leggett &amp; Platt, Incorporated (Leggett) (Notice of Determination as to Evasion, Jul. 23, 2020).pdf" xr:uid="{706EA0DD-CDDB-4447-92EB-87A008CF26E8}"/>
    <hyperlink ref="M23" r:id="rId34" display="\\sa-dc2022\Cases\Customs matters\EAPA Database\Notices of Determination\7348 Ta Chen International Inc. (Notice of Determination of Evasion, Nov. 2, 2020).pdf" xr:uid="{7E5744B0-0FDB-4962-83A4-DA09D370863F}"/>
    <hyperlink ref="N23" r:id="rId35" display="\\sa-dc2022\Cases\Customs matters\EAPA Database\Administrative Reviews\7348 Ta Chen International Inc. (Ta Chen) (Remand Redetermination, Jun. 13. 2022).pdf" xr:uid="{2ECDBDFC-4702-43A6-98AE-109AA02C27B6}"/>
    <hyperlink ref="N10" r:id="rId36" display="\\sa-dc2022\Cases\Customs matters\EAPA Database\Administrative Reviews\7250 Diamond Sawblades Manufacturers’ Coalition (Final Administrative Determination, December 20, 2021).pdf" xr:uid="{5E0BE05D-ECE1-4C54-806D-666F001250E7}"/>
    <hyperlink ref="N11" r:id="rId37" display="\\sa-dc2022\Cases\Customs matters\EAPA Database\Administrative Reviews\7251 Endura Products, Inc.’s (“Endura”) (Final Administrative Determination, January 30, 2020).pdf" xr:uid="{6F3C20A3-7092-40B6-93FF-8CF65042C336}"/>
    <hyperlink ref="N12" r:id="rId38" display="\\sa-dc2022\Cases\Customs matters\EAPA Database\Administrative Reviews\7252 Plywood Source, LLP (Plywood Source) (Final Administrative Determination, June 6, 2022).pdf" xr:uid="{D7098A6C-76F5-406B-82EE-0E0661F9256E}"/>
    <hyperlink ref="O12" r:id="rId39" xr:uid="{4E794CE0-C426-4718-9CF3-B7AFD8AF84F9}"/>
    <hyperlink ref="N13" r:id="rId40" display="\\sa-dc2022\Cases\Customs matters\EAPA Database\Administrative Reviews\7257 Core Pipe Products, Inc. (“Core Pipe”) (Final Administrative Determination, February 26, 2020).pdf" xr:uid="{B8ABD482-5C0E-4B54-A26D-40A4AAFFBF6C}"/>
    <hyperlink ref="N18" r:id="rId41" display="\\sa-dc2022\Cases\Customs matters\EAPA Database\Administrative Reviews\7297 Allied Group (“Allied”) (Final Administrative Determination, May 27, 2020).pdf" xr:uid="{A2A7B902-56AB-4181-A4A1-1ECE221F84E7}"/>
    <hyperlink ref="N15" r:id="rId42" display="\\sa-dc2022\Cases\Customs matters\EAPA Database\Administrative Reviews\7281 CP Kelco U.S., Inc. (CP Kelco) (Final Administrative Determination, July 16, 2020).pdf" xr:uid="{79DD4783-C612-42E3-A774-D56065AEB3AA}"/>
    <hyperlink ref="N19" r:id="rId43" display="\\sa-dc2022\Cases\Customs matters\EAPA Database\Administrative Reviews\7311 Apec International LLC (Apec) (Final Administrative Determination, September 17, 2020).pdf" xr:uid="{3FB09A0D-B6EC-4FE4-9A77-59639E09BF47}"/>
    <hyperlink ref="N21" r:id="rId44" display="\\sa-dc2022\Cases\Customs matters\EAPA Database\Administrative Reviews\7321 Coalition for Fair Trade of Hardwood Plywood (the Coalition) (Final Administrative Determination, November 5, 2020).pdf" xr:uid="{13250CBB-B996-448F-A526-C8F4822C64F8}"/>
    <hyperlink ref="N3" r:id="rId45" display="\\sa-dc2022\Cases\Customs matters\EAPA Database\Notices of Determination\7189 American Furniture Manufacturers Committee 2 for Legal Trade (“AFMC”) (Final Administrative Determination, Sep. 24, 2020).pdf" xr:uid="{EFBC2943-25C9-4065-95C6-EC22F7086BF2}"/>
    <hyperlink ref="M5" r:id="rId46" display="\\sa-dc2022\Cases\Customs matters\EAPA Database\Notices of Determination\7205 Diamond Sawblades Manufacturers Coalition (DSMC) (Notice of Final Determination as to Evasion, July 20, 2018).pdf" xr:uid="{298363CA-9916-41C2-90FA-5AAC2EEEA341}"/>
    <hyperlink ref="M4" r:id="rId47" display="\\sa-dc2022\Cases\Customs matters\EAPA Database\Notices of Determination\7204 Aztec Manufacturing Partnership, Ltd. (“Aztec”) (Notice of Determination as to Evasion, May 21, 2018).pdf" xr:uid="{72611531-FF20-4261-9050-9C91E1563C28}"/>
    <hyperlink ref="M6" r:id="rId48" display="\\sa-dc2022\Cases\Customs matters\EAPA Database\Notices of Determination\7208 GEO Specialty Chemicals, Inc. (GEO Specialty) (Notice of Final Determination as to Evasion, July 2, 2018).pdf" xr:uid="{48E4CE02-FEF7-45D3-A81E-F79ED0AAE9AF}"/>
    <hyperlink ref="M7" r:id="rId49" display="\\sa-dc2022\Cases\Customs matters\EAPA Database\Notices of Determination\7208 GEO Specialty Chemicals, Inc. (GEO Specialty) (Notice of Final Determination as to Evasion, July 2, 2018).pdf" xr:uid="{89C51345-5120-46CF-AD06-AFB50A350843}"/>
    <hyperlink ref="M8" r:id="rId50" display="\\sa-dc2022\Cases\Customs matters\EAPA Database\Notices of Determination\7208 GEO Specialty Chemicals, Inc. (GEO Specialty) (Notice of Final Determination as to Evasion, July 2, 2018).pdf" xr:uid="{8517F928-2DEA-4B46-926F-81278EF3E404}"/>
    <hyperlink ref="M9" r:id="rId51" display="\\sa-dc2022\Cases\Customs matters\EAPA Database\Notices of Determination\7238 Dixon Ticonderoga Company (“Dixon”) (Notice of Determination as to Evasion, May 6, 2019).pdf" xr:uid="{191E63B1-5EBF-4E90-AF6F-5BAEA1BE0D52}"/>
    <hyperlink ref="M10" r:id="rId52" display="\\sa-dc2022\Cases\Customs matters\EAPA Database\Notices of Determination\7250 Diamond Sawblades Manufacturers’ Coalition (“DSMC”) (Notice of Determination as to Evasion, Aug. 10. 2021).pdf" xr:uid="{27E284F1-55DD-44FF-8FAF-D97BCB46A1EA}"/>
    <hyperlink ref="M11" r:id="rId53" display="\\sa-dc2022\Cases\Customs matters\EAPA Database\Notices of Determination\7251 Endura Products, Inc.’s (“Endura”) (Notice of Determination as to Evasion, Sept. 18. 2019).pdf" xr:uid="{3DC7D61E-14E8-4CD3-98B6-7A130F56FF03}"/>
    <hyperlink ref="M12" r:id="rId54" display="\\sa-dc2022\Cases\Customs matters\EAPA Database\Notices of Determination\7252 Plywood Source, LLP (Plywood Source) (Notice of Determination as to Evasion, Jan. 28, 2022).pdf" xr:uid="{D15EF7F9-667E-4BAF-B32B-386F2C295B78}"/>
    <hyperlink ref="M13" r:id="rId55" display="\\sa-dc2022\Cases\Customs matters\EAPA Database\Notices of Determination\7257 Core Pipe Products, Inc. (“Core Pipe”) (Notice of Determination as to Evasion, Oct. 9, 2019).pdf" xr:uid="{42904694-DE6D-4C3C-8EFE-34A9A8A6F5B2}"/>
    <hyperlink ref="M14" r:id="rId56" display="\\sa-dc2022\Cases\Customs matters\EAPA Database\Notices of Determination\7270 Salvi Chemical Industries Ltd. (“Salvi”) (Notice of Determination as to Evasion, Sep. 25, 2019).pdf" xr:uid="{F6BDAF02-086D-4DFF-A4E2-1F394029ED6A}"/>
    <hyperlink ref="M18" r:id="rId57" display="\\sa-dc2022\Cases\Customs matters\EAPA Database\Notices of Determination\7297 Allied Group (“Allied”) (Notice of Determination as to Evasion, Jan. 22, 2020).pdf" xr:uid="{5A24B753-2702-4AB9-BBED-1BDA0932F519}"/>
    <hyperlink ref="M17" r:id="rId58" display="\\sa-dc2022\Cases\Customs matters\EAPA Database\Notices of Determination\7292 The Fresh Garlic Producers Association (“FPGA”) (Notice of Determination as to Evasion, Feb. 10, 2020).pdf" xr:uid="{759E6A04-81D4-4760-8B03-D130B9FD8EA8}"/>
    <hyperlink ref="M15" r:id="rId59" display="\\sa-dc2022\Cases\Customs matters\EAPA Database\Notices of Determination\7281 CP Kelco U.S., Inc. (CP Kelco) (Notice of Determination as to Evasion, March 9, 2020).pdf" xr:uid="{B3204D10-4EC7-49BE-8191-9C38C99198AC}"/>
    <hyperlink ref="M16" r:id="rId60" display="\\sa-dc2022\Cases\Customs matters\EAPA Database\Notices of Determination\7282 CP Kelco U.S., Inc. (CP Kelco) (Notice of Determination as to Evasion, March 9, 2020).pdf" xr:uid="{23D4E7B4-A35E-4D5D-B403-385F79DD5F56}"/>
    <hyperlink ref="M19" r:id="rId61" display="\\sa-dc2022\Cases\Customs matters\EAPA Database\Notices of Determination\7311 Apec International LLC (Apec) (Notice of Determination, May 11, 2020).pdf" xr:uid="{E34D2297-2872-4C3D-A66D-9F753BCA9887}"/>
    <hyperlink ref="M20" r:id="rId62" display="\\sa-dc2022\Cases\Customs matters\EAPA Database\Notices of Determination\7320 GEO Specialty Chemicals, Inc. (“GEO”) (Notice of Determination as to Evasion, May 19, 2020).pdf" xr:uid="{36F37751-CADD-4E39-A96C-83719FF3D018}"/>
    <hyperlink ref="M21" r:id="rId63" display="\\sa-dc2022\Cases\Customs matters\EAPA Database\Notices of Determination\7321 Coalition for Fair Trade of Hardwood Plywood (the Coalition) (Notice of Determination as to Evasion, June 29, 2020).pdf" xr:uid="{65CC7FD8-26F7-4151-B7F4-C44A798E33BA}"/>
    <hyperlink ref="L12" r:id="rId64" display="\\sa-dc2022\Cases\Customs matters\EAPA Database\Covered Merchandise Referrals\7252 Covered Merchandise Referral, Sept. 23, 2019.pdf" xr:uid="{4712331B-059E-41E9-AE95-295BE3C4FB20}"/>
    <hyperlink ref="L10" r:id="rId65" display="\\sa-dc2022\Cases\Customs matters\EAPA Database\Covered Merchandise Referrals\7250 Covered Merchandise Referral, July 5, 2019.pdf" xr:uid="{F1008044-C1FD-47B3-BA4D-DBFF6BD79364}"/>
    <hyperlink ref="K92" r:id="rId66" display="Notices of Initiation &amp; Interim Measures\8093 Various Importers (Notice of Initiation of Investigation and Interim Measures, January 28, 2025).pdf" xr:uid="{DFF49C97-9A6C-4E65-8148-F9BE10DA6C3F}"/>
    <hyperlink ref="K95" r:id="rId67" display="Notices of Initiation &amp; Interim Measures\8133 XCMG North America Corporation (Notice of Initiation of Investigation and Interim Measures, October 10, 2025).pdf" xr:uid="{1754F4DA-C16B-489A-8E95-333271F81C07}"/>
    <hyperlink ref="K93" r:id="rId68" display="Notices of Initiation &amp; Interim Measures\8112 TriMar Ribbons Inc. and Ribest Ribbons &amp; Bows USA Inc. (Notice of Initiation of Investigation and Interim Measures, February 3, 2025).pdf" xr:uid="{CAC4166A-4CB9-4BD2-95F1-023F72480EB3}"/>
    <hyperlink ref="K91" r:id="rId69" display="Notices of Initiation &amp; Interim Measures\8052 Various Importers (Notice of Initiation of Investigation and Interim Measures, January 28, 2025).pdf" xr:uid="{64D4383B-0F4B-4A86-ADE9-8E7002AFBC51}"/>
    <hyperlink ref="K90" r:id="rId70" display="Notices of Initiation &amp; Interim Measures\8042 Allied Food Products Inc. (Notice of Initiation of Investigation and Interim Measures, February 20, 2025).pdf" xr:uid="{CA671B13-F3A8-405E-95FF-66F7CF6EED7E}"/>
    <hyperlink ref="K97" r:id="rId71" display="Notices of Initiation &amp; Interim Measures\8137 Island Home Building Materials, Inc. (Notice of Initiation of Investigation and Interim Measures, May 06, 2025).pdf" xr:uid="{722C9354-7C0D-4B10-B1D3-3AF86A63BDC8}"/>
    <hyperlink ref="K96" r:id="rId72" display="Notices of Initiation &amp; Interim Measures\8135 USASourcing Inc. and Tradewide Inc. (Notice of Initiation of Investigation and Interim Measures, May 12, 2025).pdf" xr:uid="{78438A76-9FF5-4D26-972A-61E6990E6712}"/>
    <hyperlink ref="K103" r:id="rId73" display="Notices of Initiation &amp; Interim Measures\8164 Various Importers (Notice of Initiation of Investigation and Interim Measures, June 18, 2025).pdf" xr:uid="{4FB10417-F09B-4068-9DF1-383D35C1BFB2}"/>
    <hyperlink ref="K100" r:id="rId74" display="Notices of Initiation &amp; Interim Measures\8144 First Biotech and Deosen USA (Notice of Initiation of Investigation and Interim Measures, July 31, 2025).pdf" xr:uid="{50F0B573-DB69-419B-BF0E-F91B433EEA62}"/>
    <hyperlink ref="K104" r:id="rId75" display="Notices of Initiation &amp; Interim Measures\8183 Greenbrier Companies, Inc (Notice of Initiation of Investigation and Interim Measures, August 20, 2025).pdf" xr:uid="{C46372A9-69C5-4037-9AE9-26A15531A2D3}"/>
    <hyperlink ref="K101" r:id="rId76" display="Notices of Initiation &amp; Interim Measures\8150 Various Importers (Notice of Initiation of Investigation and Interim Measures, September 10, 2025).pdf" xr:uid="{BB21DF58-D162-4FD3-9CCF-3C37DED8430C}"/>
    <hyperlink ref="K102" r:id="rId77" display="Notices of Initiation &amp; Interim Measures\8163 Waaree and Waaree Americas (Notice of Initiation of Investigation and Interim Measures, September 25, 2025).pdf" xr:uid="{E759EA16-4211-4284-B8A3-CFA6DCA7C678}"/>
    <hyperlink ref="K105" r:id="rId78" display="Notices of Initiation &amp; Interim Measures\8199 Coastal Forest Products (Notice of Initiation of Investigation and Interim Measures, September 30, 2025).pdf" xr:uid="{8A718B7C-46FE-4A42-9388-F917F24DF3C7}"/>
    <hyperlink ref="K121" r:id="rId79" display="Notices of Initiation &amp; Interim Measures\8210 Various Importers (Notice of Initiation of Investigation and Interim Measures, October 31, 2025).pdf" xr:uid="{C68C865E-81C6-4B8F-B1CD-8A8412924968}"/>
    <hyperlink ref="K107" r:id="rId80" display="Notices of Initiation &amp; Interim Measures\8206 Wysdom USA Co., Ltd (Notice of Initiation of Investigation and Interim Measures, November 13, 2025).pdf" xr:uid="{7D579FB3-1BB6-4D77-B119-689EB4432A0F}"/>
    <hyperlink ref="K106" r:id="rId81" display="Notices of Initiation &amp; Interim Measures\8201 Various Importers (Notice of Initiation of Investigation and Interim Measures, December 15, 2025).pdf" xr:uid="{3CB226DB-4EE5-408F-A875-56F998726B03}"/>
    <hyperlink ref="K108" r:id="rId82" display="Notices of Initiation &amp; Interim Measures\8224 Daffodil Pharmachem Private Limited (Notice of Initiation of Investigation and Interim Measures, December 18, 2025).pdf" xr:uid="{766BD0DF-20A0-47CA-A84B-268856341738}"/>
    <hyperlink ref="K89" r:id="rId83" display="Notices of Initiation &amp; Interim Measures\7969 Thompson Aluminum Casting Company, Inc (Notice of Initiation of Investigation and Interim Measures, August 13, 2024).pdf" xr:uid="{395C264A-F15A-41C9-A5B0-22AA6538C86E}"/>
    <hyperlink ref="K85" r:id="rId84" display="Notices of Initiation &amp; Interim Measures\7899 Highland USA International, Inc. (Notice of Initiation of Investigation and Interim Measures, August 28, 2024).pdf" xr:uid="{ABEA9586-C9EE-4CA8-B05B-8D9E77ACC95D}"/>
    <hyperlink ref="K83" r:id="rId85" display="Notices of Initiation &amp; Interim Measures\7889 JBS Trading LLC (Notice of Initiation of Investigation and Interim Measures, August 28, 2024).pdf" xr:uid="{ACDFED1C-6D50-4F83-9E9B-65D6187F68FE}"/>
    <hyperlink ref="K87" r:id="rId86" display="Notices of Initiation &amp; Interim Measures\7907 Sinoboom North America, LLC (Notice of Initiation of Investigation and Interim Measures, October 01, 2024).pdf" xr:uid="{B5AAD13D-7195-4674-8ED5-8983B7C69FC3}"/>
    <hyperlink ref="K120" r:id="rId87" display="Notices of Initiation &amp; Interim Measures\7913 Various Importers (Notice of Initiation of Investigation and Interim Measures, October 30, 2024).pdf" xr:uid="{CBF4F854-2A37-4888-9CA1-EC1F0BAA46CB}"/>
    <hyperlink ref="K77" r:id="rId88" display="Notices of Initiation &amp; Interim Measures\7846 Shari Pharmachem (USA) LLC (Notice of Initiation of Investigation and Interim Measures, February 14, 2024).pdf" xr:uid="{F528B633-C615-4366-B1FF-14EF4B517287}"/>
    <hyperlink ref="K74" r:id="rId89" display="Notices of Initiation &amp; Interim Measures\7839 AXN Heavy Duty LLC (Notice of Initiation of Investigation and Interim Measures, July 31, 2024).pdf" xr:uid="{FCC5C151-E281-4D6C-ADDF-2F42B52BE0C9}"/>
    <hyperlink ref="K88" r:id="rId90" display="Notices of Initiation &amp; Interim Measures\7950 Various Importers (Notice of Initiation of Investigation and Interim Measures, July 09, 2024).pdf" xr:uid="{9E061BCD-2B5F-4BF7-8FD7-2F7534A80DB0}"/>
    <hyperlink ref="K82" r:id="rId91" display="Notices of Initiation &amp; Interim Measures\7888 Various Importers (Notice of Initiation of Investigation and Interim Measures, June 17, 2024).pdf" xr:uid="{3CC4CAB1-337F-4756-A932-66C8573366D1}"/>
    <hyperlink ref="K81" r:id="rId92" display="Notices of Initiation &amp; Interim Measures\7887 Various Importers (Notice of Initiation of Investigation and Interim Measures, June 18, 2024).pdf" xr:uid="{4E9898BF-DCEB-4B16-82A9-C8D89C3DD45C}"/>
    <hyperlink ref="K86" r:id="rId93" display="Notices of Initiation &amp; Interim Measures\7902 Global Natural Ingredients, LLC (Notice of Initiation of Investigation and Interim Measures, June 17, 2024).pdf" xr:uid="{15AE2CE8-5C83-4E35-87FB-F452D6B0BAD1}"/>
    <hyperlink ref="K84" r:id="rId94" display="Notices of Initiation &amp; Interim Measures\7890 Various Importers (Notice of Initiation of Investigation and Interim Measures, May 31, 2024).pdf" xr:uid="{84C838B6-53A8-4A6E-9D86-9123E2DB935C}"/>
    <hyperlink ref="K79" r:id="rId95" display="Notices of Initiation &amp; Interim Measures\7853 Just About Foods LLC (Notice of Initiation of Investigation and Interim Measures, April 29, 2024).pdf" xr:uid="{EC8CBF3E-8CDE-4669-A3E5-0B9F5986108A}"/>
    <hyperlink ref="K75" r:id="rId96" display="Notices of Initiation &amp; Interim Measures\7841 BMF Imports, LLC (Notice of Initiation of Investigation and Interim Measures, April 2, 2024).pdf" xr:uid="{CB0C58B2-2D83-427A-B037-72FAAD1B05DC}"/>
    <hyperlink ref="K76" r:id="rId97" display="Notices of Initiation &amp; Interim Measures\7844 Guy &amp; O’Neill, Inc. (Notice of Initiation of Investigation and Interim Measures, March 28, 2024).pdf" xr:uid="{3B9F6C0D-D8DB-44A7-905F-DB2B0C642248}"/>
    <hyperlink ref="K80" r:id="rId98" display="Notices of Initiation &amp; Interim Measures\7856 Various Importers (Amended Notice of Initiation of Investigation and Interim Measures, February 16, 2024).pdf" xr:uid="{C38BE9B0-A1AB-4F4A-B1A8-DA34BA37EF28}"/>
    <hyperlink ref="K70" r:id="rId99" display="Notices of Initiation &amp; Interim Measures\7821 VY Industries Inc. (Notice of Initiation of Investigation and Interim Measures, March 26, 2024).pdf" xr:uid="{7F4A6FA0-177C-4B61-B93A-7102065E028A}"/>
    <hyperlink ref="K72" r:id="rId100" display="Notices of Initiation &amp; Interim Measures\8135 USASourcing Inc. and Tradewide Inc. (Notice of Initiation of Investigation and Interim Measures, May 12, 2025).pdf" xr:uid="{4EFA4247-D396-4781-8A35-0356692AA005}"/>
    <hyperlink ref="K73" r:id="rId101" display="Notices of Initiation &amp; Interim Measures\7838 Various Importers (Notice of Initiation of Investigation and Interim Measures, March 11, 2024).pdf" xr:uid="{5FF8F876-5047-457D-8BDB-A2411C1E989F}"/>
    <hyperlink ref="L74" r:id="rId102" display="Covered Merchandise Referrals\7839 Covered Merchandise Referral, March 11, 2025.pdf" xr:uid="{ECABE1A5-A0C8-4FB2-9E8D-75614A19E9CF}"/>
    <hyperlink ref="L88" r:id="rId103" display="Covered Merchandise Referrals\7950 Covered Merchandise Referral, December 18, 2024.pdf" xr:uid="{6D4FA549-FFDD-4163-922C-A198783CF237}"/>
    <hyperlink ref="N81" r:id="rId104" display="Administrative Reviews\7887 Kingka Cabinet, Inc. (Final Administrative Determination, July 24, 2025).pdf" xr:uid="{214445CA-1792-469D-A207-39D29E7727FD}"/>
    <hyperlink ref="N84" r:id="rId105" display="Administrative Reviews\7890 Centric Pipe LLC, Energy Pipe &amp; Equipment, Kana Energy Services Inc., LE Commodities, LLC, Trek Metals Inc., and TSPGA LLC (Final Administrative Determination, July 2, 2025).pdf" xr:uid="{60A0488F-631F-421D-B1F0-AFAF1E867A93}"/>
    <hyperlink ref="N62" r:id="rId106" display="Administrative Reviews\7796 Lollicup USA Inc. (Final Administrative Determination, June 11, 2024).pdf" xr:uid="{21DD0580-2BA9-4348-9A42-2E18A115C0EA}"/>
    <hyperlink ref="N87" r:id="rId107" display="Administrative Reviews\7907 Sinoboom North America, LLC (Final Administrative Determination, November 6, 2025).pdf" xr:uid="{435C9DC7-A5DF-4455-985B-CF35ADEE3947}"/>
    <hyperlink ref="N89" r:id="rId108" display="Administrative Reviews\7969 Thompson Aluminum Casting Company, Inc. (Final Administrative Determination, September 18, 2025).pdf" xr:uid="{75975DE3-F908-4E44-8CCD-367121DB2458}"/>
    <hyperlink ref="M77" r:id="rId109" display="Notices of Determination\7846 Shari Pharmachem USA  (Notice of Determination as to Evasion, September 11, 2024).pdf" xr:uid="{0DA61A5F-3603-4C00-8A88-319CEA5AF1A0}"/>
    <hyperlink ref="M76" r:id="rId110" display="Notices of Determination\7844 Guy and O’Neill Inc. (Notice of Determination as to Evasion, October 18, 2024).pdf" xr:uid="{E3085E59-4101-4679-8034-6F7BE99DBC31}"/>
    <hyperlink ref="M80" r:id="rId111" display="Notices of Determination\7856 Various Importers (Notice of Determination as to Evasion, September 19, 2024).pdf" xr:uid="{84470A96-F5EE-4D54-8C65-B3D9BB28E2BD}"/>
    <hyperlink ref="M70" r:id="rId112" display="Notices of Determination\7821 VY Industries (Notice of Determination as to Evasion, October 22, 2024).pdf" xr:uid="{194E9BC0-2A30-43BA-BEC4-C1FB8619D381}"/>
    <hyperlink ref="M73" r:id="rId113" display="Notices of Determination\7838 Musa Stone and KMGK (Notice of Determination as to Evasion, August 19, 2024).pdf" xr:uid="{E434AF87-8190-41CC-8F86-DB7F6E9645DF}"/>
    <hyperlink ref="M68" r:id="rId114" display="Notices of Determination\7814 Texas United Chemical Company, LLC. (Notice of Determination as to Evasion, June 05, 2024).pdf" xr:uid="{928A00D2-A642-45FC-A00B-DC6772BFA8A0}"/>
    <hyperlink ref="M119" r:id="rId115" display="Notices of Determination\7819 Besttn Industry Inc. (Notice of Determination as to Evasion, May 29, 2024).pdf" xr:uid="{E0D33D33-4EC3-455F-A735-4E36FAC38D09}"/>
    <hyperlink ref="M78" r:id="rId116" display="Notices of Determination\7850 Mak Chemicals, Inc. (Notice of Determination as to Evasion, October 22, 2024).pdf" xr:uid="{8F97C093-E0EA-43F3-9182-4A9F6333C8F6}"/>
    <hyperlink ref="M71" r:id="rId117" display="Notices of Determination\7830 ADI ChemTech LLC (Notice of Determination as to Evasion, July 9, 2024).pdf" xr:uid="{6AEC6C56-E140-4EA9-A047-198BDA038A76}"/>
    <hyperlink ref="M92" r:id="rId118" display="Notices of Determination\8093 Various Importers (Notice of Determination as to Evasion, August 25, 2025).pdf" xr:uid="{696F15EB-F74E-4F08-BD58-5A8EE77770B6}"/>
    <hyperlink ref="M91" r:id="rId119" display="Notices of Determination\8052 Various Importers (Notice of Determination as to Evasion, August 25, 2025).pdf" xr:uid="{801DFF7A-4DAD-4D53-BA1C-ADC4F60A8109}"/>
    <hyperlink ref="M93" r:id="rId120" display="Notices of Determination\8112 Ribest USA and TriMar (Notice of Determination as to Evasion, July 11, 2025).pdf" xr:uid="{E475B3E3-D730-4267-8B7E-ED78593680E8}"/>
    <hyperlink ref="M90" r:id="rId121" display="Notices of Determination\8042 Allied Food (Notice of Determination as to Evasion, September 17, 2025).pdf" xr:uid="{1E8A10FB-A9C8-408B-A688-91E02725EE95}"/>
    <hyperlink ref="M97" r:id="rId122" display="Notices of Determination\8137 Island Home Building Materials, Inc. (Notice of Determination as to Evasion, October 30, 2025).pdf" xr:uid="{49E88FE9-F04A-49DC-BA3D-65507EE142C7}"/>
    <hyperlink ref="M96" r:id="rId123" display="Notices of Determination\8135 Various Importers (Notice of Determination as to Evasion, November 6, 2025).pdf" xr:uid="{49FDF1DB-533C-4486-B9B6-5488F4D66159}"/>
    <hyperlink ref="M120" r:id="rId124" display="Notices of Determination\7913 Various Importers (Notice of Determination as to Evasion, May 29, 2025).pdf" xr:uid="{6DECB2C5-E5B8-41FB-8630-335BA4128D9B}"/>
    <hyperlink ref="M87" r:id="rId125" display="Notices of Determination\7907 Sinoboom North America, LLC (Notice of Determination as to Evasion, June 30, 2025).pdf" xr:uid="{4211299C-0A4D-4FDC-A540-735A619DEE0A}"/>
    <hyperlink ref="M83" r:id="rId126" display="Notices of Determination\7889 JBS Trading LLC (Notice of Determination as to Evasion, March 26, 2025).pdf" xr:uid="{F6E7A6BD-EAED-4609-AEF2-EE46E6834C13}"/>
    <hyperlink ref="M85" r:id="rId127" display="Notices of Determination\7899 Highland USA International, Inc. (Notice of Determination as to Evasion, March 26, 2025).pdf" xr:uid="{656892D6-D08B-47AD-9661-0A1B8B9DF490}"/>
    <hyperlink ref="M89" r:id="rId128" display="Notices of Determination\7969 Thompson Aluminum Casting Company, Inc. (Notice of Determination as to Evasion, May 09, 2025).pdf" xr:uid="{F51EEFD7-A522-457E-91E8-7956E804C0AD}"/>
    <hyperlink ref="M88" r:id="rId129" display="Notices of Determination\7950 Various Importers (Notice of Determination as to Evasion, September 15, 2025).pdf" xr:uid="{9F658EFB-16B2-4596-9B83-C1466449204C}"/>
    <hyperlink ref="M82" r:id="rId130" display="Notices of Determination\7888 Various Importers (Notice of Determination as to Evasion, March 13, 2025).pdf" xr:uid="{91338B0E-9D01-4C97-BB53-B92CB5308990}"/>
    <hyperlink ref="M81" r:id="rId131" display="Notices of Determination\7887 Various Importers (Notice of Determination as to Evasion, March 17, 2025).pdf" xr:uid="{2CCE88DE-FDC2-4A39-AE6A-B0103D32B1B3}"/>
    <hyperlink ref="M86" r:id="rId132" display="Notices of Determination\7902 Global Natural Ingredients (Notice of Determination as to Evasion, January 13, 2025).pdf" xr:uid="{C839D66B-98B4-4A7B-B2BC-7FF22F569B87}"/>
    <hyperlink ref="M84" r:id="rId133" display="Notices of Determination\7890 Various Importers (Notice of Determination as to Evasion, February 24, 2025).pdf" xr:uid="{910C5A01-4390-4BE6-AF34-C3915CDE7B73}"/>
    <hyperlink ref="M79" r:id="rId134" display="Notices of Determination\7853 Foods LLC (Notice of Determination as to Evasion, January 27, 2025).pdf" xr:uid="{17E296B2-3174-4B04-AD32-33B9B16F0544}"/>
    <hyperlink ref="K45" r:id="rId135" display="Notices of Initiation &amp; Interim Measures\7673 Various Importers (Notice of Initiation of Investigation and Interim Measures, October 6, 2022).pdf" xr:uid="{B141DDA8-2AC7-4A7F-8211-9541563F451E}"/>
    <hyperlink ref="K39" r:id="rId136" display="Notices of Initiation &amp; Interim Measures\7621 Phoenix Metal Co., Ltd. (Notice of Initiation of Investigation and Interim Measures, March 28, 2022).pdf" xr:uid="{987A3C86-396E-43AA-A8CA-C9CC90CAFBF2}"/>
    <hyperlink ref="K43" r:id="rId137" display="Notices of Initiation &amp; Interim Measures\7657 Various Importers (Notice of Initiation of Investigation and Interim Measures, February 8, 2022).pdf" xr:uid="{0101C66E-D185-4C52-A598-350D922A59D6}"/>
    <hyperlink ref="K46" r:id="rId138" display="Notices of Initiation &amp; Interim Measures\7675 Acmetex Inc., New Fire Co. Ltd. (Notice of Initiation of Investigation and Interim Measures, March 28, 2022).pdf" xr:uid="{970F9276-A422-43D0-8BBA-124BDFC6D8E3}"/>
    <hyperlink ref="K47" r:id="rId139" display="Notices of Initiation &amp; Interim Measures\7718 Zinus Inc. (Notice of Inv. and Interim Measures, Oct. 24, 2022).pdf" xr:uid="{5F249A5C-6384-430A-8E3F-70AC015FECF1}"/>
    <hyperlink ref="K48" r:id="rId140" display="Notices of Initiation &amp; Interim Measures\7705 Scioto Valley Woodworking, Inc. (Valleywood) (Notice of Initiation of Investigation and Interim Measures, July 6, 2022).pdf" xr:uid="{587DA4B6-93A4-40E5-A96E-10F9BDF0B8FD}"/>
    <hyperlink ref="K52" r:id="rId141" display="Notices of Initiation &amp; Interim Measures\7724 WHP Associates (Notice of Initiation of Investigation and Interim Measures, October 3, 2022).pdf" xr:uid="{D8C6DEFE-5A6E-4F8C-BC2B-86643D25A9AA}"/>
    <hyperlink ref="K50" r:id="rId142" display="Notices of Initiation &amp; Interim Measures\7718 Zinus Inc. (Notice of Inv. and Interim Measures, Oct. 24, 2022).pdf" xr:uid="{647B02E6-EB9D-4749-886B-2445DA19376E}"/>
    <hyperlink ref="K49" r:id="rId143" display="Notices of Initiation &amp; Interim Measures\7711 Pitts Enterprises, Inc. (Notice of Initiation of Investigation and Interim Measures, October 25, 2022).pdf" xr:uid="{72AF98F1-48AD-4158-A87B-F1221E2EBFAB}"/>
    <hyperlink ref="K53" r:id="rId144" display="Notices of Initiation &amp; Interim Measures\7730 Double L Group, LLC and Manufacturing Network Inc. (Notice of Inv. and Interim Measures, Oct. 26, 2022).pdf" xr:uid="{2D57253C-DBA5-4750-B6D4-BCC409DDA95B}"/>
    <hyperlink ref="K55" r:id="rId145" display="Notices of Initiation &amp; Interim Measures\7737 Gorilla Paper (Notice of Inv. and Interim Measures, Nov. 3, 2022).pdf" xr:uid="{6279D2C9-B247-4586-B264-BAC10F9C2BF4}"/>
    <hyperlink ref="K51" r:id="rId146" display="Notices of Initiation &amp; Interim Measures\7722 Vanguard Trading Company (Notice of Inv. and Interim Measures, Nov. 17, 2022).pdf" xr:uid="{4C4621D5-A356-413A-8FDD-F25BD0C7C79F}"/>
    <hyperlink ref="K56" r:id="rId147" display="Notices of Initiation &amp; Interim Measures\7740 LE North America JV, LLC (Notice of Inv. and Interim Measures, Nov. 20, 2022).pdf" xr:uid="{45047FF1-880E-4439-A0DB-A7BFDBDD082E}"/>
    <hyperlink ref="K58" r:id="rId148" display="Notices of Initiation &amp; Interim Measures\7782 YVC USA Inc. (Notice of Initiation of Investigation and Interim Measures, Jan. 19, 2023).pdf" xr:uid="{A4FA842A-8A75-43BB-BA24-60C105C9CD36}"/>
    <hyperlink ref="K57" r:id="rId149" display="Notices of Initiation &amp; Interim Measures\7745 Various Importers (Notice of Initiation of Investigation and Interim Measures, Jan. 24, 2023).pdf" xr:uid="{45143FC8-F94A-4685-850E-8C1477BCC289}"/>
    <hyperlink ref="K54" r:id="rId150" display="Notices of Initiation &amp; Interim Measures\7734 Fortress Fence Products (Notice of Initiation of Investigation and Interim Measures, Jan. 24, 2023).pdf" xr:uid="{9AB420A3-9820-4FA2-8A15-02763838A3E5}"/>
    <hyperlink ref="K115" r:id="rId151" display="Notices of Initiation &amp; Interim Measures\7785 LDL Trading Company (Notice of Initiation of Investigation and Interim Measures, Feb. 1, 2023).pdf" xr:uid="{544D8718-CEDF-458F-BA51-E53BC10B4C81}"/>
    <hyperlink ref="K59" r:id="rId152" display="Notices of Initiation &amp; Interim Measures\7783 Superior Commercial Solutions LLC (Notice of Initiation of Investigation and Interim Measures, Feb. 2, 2023).pdf" xr:uid="{490EBB4A-BE91-40AE-BCF2-65204BE469A0}"/>
    <hyperlink ref="K60" r:id="rId153" display="Notices of Initiation &amp; Interim Measures\7788 Muller Import Inc. and U.S. Castings Inc. (Notice of Initiation of Investigation and Interim Measures, March 29, 2023).pdf" xr:uid="{1071E525-738E-47AE-B680-FFDCBFFF316A}"/>
    <hyperlink ref="K61" r:id="rId154" display="Notices of Initiation &amp; Interim Measures\7794 Colony Gums Inc. (Notice of Initiation of Investigation and Interim Measures, May 15, 2023).pdf" xr:uid="{4B312848-B04C-4719-B0CC-05FCFD037514}"/>
    <hyperlink ref="K117" r:id="rId155" display="Notices of Initiation &amp; Interim Measures\7796 Exquis Inc., Lollicup USA Inc., and Sanster Corporation (Notice of Inv and Interim Measures, May 9, 2023).pdf" xr:uid="{8B9FD103-7A2F-4EDD-B34B-FCFB6C3DD87C}"/>
    <hyperlink ref="K64" r:id="rId156" display="Notices of Initiation &amp; Interim Measures\7809 Vanity Art, LLC and Legion Furniture, Inc.  (Notice of Inv and Interim Measures, May 17, 2023).pdf" xr:uid="{37866070-D9BF-44D6-A90A-4A5C2A0397A3}"/>
    <hyperlink ref="K63" r:id="rId157" display="Notices of Initiation &amp; Interim Measures\7801 Minth Mexico Coatings (Notice of Inv and Interim Measures, May 30, 2023).pdf" xr:uid="{3942E9CF-CB58-4BEB-8D89-3077428D064B}"/>
    <hyperlink ref="K66" r:id="rId158" display="Notices of Initiation &amp; Interim Measures\7811 Suzhou Quality Import and Export Co. (Notice of Inv and Interim Measures, June 27, 2023).pdf" xr:uid="{4167EB8B-08EF-4314-A93F-958A399EAA83}"/>
    <hyperlink ref="K65" r:id="rId159" display="Notices of Initiation &amp; Interim Measures\7810 CIMC Intermodal Equipment LLC (Notice of Initiation of Investigation and Interim Measures, July 31, 2023).pdf" xr:uid="{0001ECDB-C856-462B-94C4-2A8FA996E888}"/>
    <hyperlink ref="K69" r:id="rId160" display="Notices of Initiation &amp; Interim Measures\7818 Midwest Livestock Systems LLC (Notice of Initiation of Investigation and Interim Measures, Sep. 12, 2023).pdf" xr:uid="{BE9DA9CC-AC75-4331-927F-66DEED460CFB}"/>
    <hyperlink ref="K67" r:id="rId161" display="Notices of Initiation &amp; Interim Measures\7813 Ebuy Enterprises Limited and Highland USA International, Inc. (Notice of Initiation of Invest. and Interim Measures &amp; Interim Meaures, Sep. 27, 2023).pdf" xr:uid="{274832CB-5BEA-4E30-94B2-842EECAB7652}"/>
    <hyperlink ref="L26" r:id="rId162" display="Covered Merchandise Referrals\7412 Covered Merchanidse Referral 6-30-2022.pdf" xr:uid="{9C595700-79C4-4E7F-B97B-1C81685FA3E0}"/>
    <hyperlink ref="M43" r:id="rId163" display="Notices of Determination\7657 Various Importers (Notice of Determination as to Evasion, November 7, 2022).pdf" xr:uid="{CBD110C8-48C6-4C6A-A37D-AD4B9AE701C9}"/>
    <hyperlink ref="M45" r:id="rId164" display="Notices of Determination\7673 Various Importers (Notice of Final Determination as to Evasion, October 6, 2022).pdf" xr:uid="{704C1D62-8DDC-4BC6-B529-DA0AB9B7865C}"/>
    <hyperlink ref="M39" r:id="rId165" display="Notices of Determination\7621 Little Fireflies, Granite Plumbing, Phoenix Metal (Notice of Determination as to Evasion, Sept. 6, 2022).pdf" xr:uid="{DBB1B44A-63F8-4E20-83D5-A59A4D116EB8}"/>
    <hyperlink ref="M46" r:id="rId166" display="Notices of Determination\7675 Acmetex Inc., New Fire Co. Ltd. (Notice of Determination as to Evasion, December 27, 2022).pdf" xr:uid="{611AB991-D8BE-47BD-B338-315CC54128EA}"/>
    <hyperlink ref="M47" r:id="rId167" display="Notices of Determination\7699 C.I.S. Investments, LLC (Notice of Determination as to Evasion, December 20, 2022).pdf" xr:uid="{6DB366DC-CE94-4920-906A-1A05168611C7}"/>
    <hyperlink ref="M48" r:id="rId168" display="Notices of Determination\7705 Scioto Valley Woodworking, Inc. (Notice of Determination as to Evasion, January 31, 2023).pdf" xr:uid="{B0BE5D2F-0764-44E6-85B7-B24021D5F506}"/>
    <hyperlink ref="M52" r:id="rId169" display="Notices of Determination\7724 WHP Associates LLC (Notice of Determination as to Evasion, May 1, 2023).pdf" xr:uid="{15AAB525-3FB5-414F-A797-6A8020376B37}"/>
    <hyperlink ref="M50" r:id="rId170" display="Notices of Determination\7718 Zinus Inc (Notice of Determination as to Evasion, July 21, 2023).pdf" xr:uid="{DCDC0307-409E-48A4-BA8B-5EE9F21BACFD}"/>
    <hyperlink ref="M49" r:id="rId171" display="Notices of Determination\7711 Pitts Enterprises, Inc. (Notice of Determination as to Evasion, May 23, 2023).pdf" xr:uid="{D7D33A54-FD6B-4CF6-9622-76E83FB23D1B}"/>
    <hyperlink ref="M53" r:id="rId172" display="Notices of Determination\7730 Double L Group, LLC and Manufacturing Network Inc. (Notice of Determination as to Evasion, July 21, 2023).pdf" xr:uid="{0AD44797-5AA4-4CA4-9D49-1FF17682E363}"/>
    <hyperlink ref="M55" r:id="rId173" display="Notices of Determination\7737 Gorilla Paper, Inc.  (Notice of Determination of Evasion, May 12, 2023).pdf" xr:uid="{455E02DB-8343-4666-A6AE-53E98FAAA231}"/>
    <hyperlink ref="M51" r:id="rId174" display="Notices of Determination\7722 Vanguard Trading Company (Notice of Determination as to Evasion, June 14, 2023).pdf" xr:uid="{4A226B96-B456-412F-A062-718EC460437E}"/>
    <hyperlink ref="M58" r:id="rId175" display="Notices of Determination\7782 YVC USA (Notice of Determination as to Evasion, Aug. 16, 2023).pdf" xr:uid="{7B41D764-1DF0-4248-879B-A5DFF0E458F7}"/>
    <hyperlink ref="M57" r:id="rId176" display="Notices of Determination\7745 Various Importers (Notice of Determination as to Evasion, Aug. 21, 2023).pdf" xr:uid="{C4731F7D-2D6A-45A6-8106-8689909BAD6C}"/>
    <hyperlink ref="M54" r:id="rId177" display="Notices of Determination\7734 Fortress Iron, LP (Notice of Determination as to Evasion, Aug. 21, 2023).pdf" xr:uid="{26C32DC1-D2BB-4847-AB98-5A0908192013}"/>
    <hyperlink ref="M115" r:id="rId178" display="Notices of Determination\7785 LDL Trading Company (Notice of Determination as to Evasion, Oct. 30, 2023).pdf" xr:uid="{DB64CACE-7F02-4E26-92A6-0999A4BD34D2}"/>
    <hyperlink ref="M59" r:id="rId179" display="Notices of Determination\7783 Superior Commercial Solutions LLC (Notice of Determination of Evasion, Aug. 31, 2023).pdf" xr:uid="{D707507D-7E7D-4081-90CC-2A77778CDBAE}"/>
    <hyperlink ref="M60" r:id="rId180" display="Notices of Determination\7788 Muller Import Inc., U.S. Castings Inc. (Notice of Determination as to Evasion, Dec. 12, 2023).pdf" xr:uid="{1F5214F3-41E0-450F-A264-03B770289ECB}"/>
    <hyperlink ref="M63" r:id="rId181" display="Notices of Determination\7801 Minth Mexico Coatings (Notice of Determination as to Evasion, Feb. 27, 2024).pdf" xr:uid="{FA6EDC37-5E60-4366-BCDB-8E3AD9E511C6}"/>
    <hyperlink ref="M65" r:id="rId182" display="Notices of Determination\7810 CIMC Intermodal Equipment LLC (Notice of Determination as to Evasion, Apr. 25, 2024).pdf" xr:uid="{0323E1D9-B94D-4646-BA5E-CB63B90D75DD}"/>
    <hyperlink ref="M69" r:id="rId183" display="Notices of Determination\7818 Midwest Livestock Systems, LLC (Notice of Determination, April 9, 2024).pdf" xr:uid="{C3817331-9C96-44E2-9EA9-5EC9B5B43D7E}"/>
    <hyperlink ref="M67" r:id="rId184" display="Notices of Determination\7813 Ebuy Enterprises Limited and Highland USA International, Inc. (Notice of Determination as to Evasion, April 24, 2024).pdf" xr:uid="{FF82A17A-E459-4FF1-AC11-5D4EF49305FF}"/>
    <hyperlink ref="N43" r:id="rId185" display="Administrative Reviews\7657 KAT Specialties, Inc. (“KAT”) and Kingway Construction Supplies, Inc. (Final Administrative Determination, March 21, 2023).pdf" xr:uid="{97B0C78F-EF57-4034-8B7E-FE092E9AC0A8}"/>
    <hyperlink ref="N45" r:id="rId186" display="Administrative Reviews\7673 Uni Tile and Marble, Inc. and Kingway Constructions and Supplies Co., Inc. (Final Administrative Determination, February 17, 2023).pdf" xr:uid="{FE1335C1-6B23-4BD4-A411-AEF13D330589}"/>
    <hyperlink ref="N39" r:id="rId187" display="Administrative Reviews\7621 Phoenix (Final Administrative Determination, Jan. 18, 2023).pdf" xr:uid="{B06592B0-EF95-465E-871E-B4974D546E5B}"/>
    <hyperlink ref="N47" r:id="rId188" display="Administrative Reviews\7699 C.I.S. Investments, LLC (Final Administrative Determination, May 1, 2023).pdf" xr:uid="{EE8FC032-1247-4109-BCC5-BF11CA36AE8E}"/>
    <hyperlink ref="N48" r:id="rId189" display="Administrative Reviews\7705 Scioto Valley Woodworking, Inc.  (Final Administrative Determination, June 12, 2023).pdf" xr:uid="{579EE044-6711-4F3F-A564-754A529E5D93}"/>
    <hyperlink ref="N52" r:id="rId190" display="Administrative Reviews\7724 WHP Associates LLC (Final Administrative Determination, September 1, 2023).pdf" xr:uid="{B38C778E-75CC-4253-9E06-74D4BB30F7F1}"/>
    <hyperlink ref="N50" r:id="rId191" display="Administrative Reviews\7718 Zinus, Inc. (Final Administrative Determination, November 29, 2023).pdf" xr:uid="{D670C2D6-AD1A-49B9-B2AF-2CB4DF3D333A}"/>
    <hyperlink ref="N49" r:id="rId192" display="Administrative Reviews\7711 Pitts Enterprises, Inc. (Final Administrative Determination, September 28, 2023).pdf" xr:uid="{31A62DDA-538B-44A1-B7C2-AA741C4A5968}"/>
    <hyperlink ref="N51" r:id="rId193" display="Administrative Reviews\7722 Vanguard Trading Company, LLC (Final Administrative Determination, October 23, 2023).pdf" xr:uid="{CE8549F1-1BDC-4373-A632-1A2ACDE840F9}"/>
    <hyperlink ref="N57" r:id="rId194" display="Administrative Reviews\7745 A2 Labels &amp; Rolls, Inc. (Final Administrative Determination, December 22, 2023).pdf" xr:uid="{B77789ED-9AD1-4B92-B2E2-3FAA5012F5A1}"/>
    <hyperlink ref="N59" r:id="rId195" display="Administrative Reviews\7783 Superior Commercial Solutions, LLC (Final Administrative Determination, January 11, 2024).pdf" xr:uid="{77085ABF-5D28-42D2-914C-0ACDB40098A8}"/>
    <hyperlink ref="N117" r:id="rId196" display="Administrative Reviews\7796 Lollicup USA Inc. (Final Administrative Determination, June 11, 2024).pdf" xr:uid="{B7133789-33B6-4A9F-A48B-6B23E0A2B844}"/>
    <hyperlink ref="N64" r:id="rId197" display="Administrative Reviews\7809 Legion Furniture, Inc. (Final Administrative Determination, June 20, 2024).pdf" xr:uid="{4F6DD879-98BC-4F9F-A810-5E578F8FCEDD}"/>
    <hyperlink ref="N26" r:id="rId198" display="Administrative Reviews\7412 Fedmet Resources Corporation, LLC (Final Administrative Determination, April 13, 2021).pdf" xr:uid="{EE34358A-F921-492D-9680-FC5CB8FD792E}"/>
    <hyperlink ref="M64" r:id="rId199" display="Notices of Determination\7809 LTT International Trading Co. (Notice of Determination as to Evasion, September 12, 2023).pdf" xr:uid="{673E6E0C-01E9-4E61-8B73-FA9F74800DA4}"/>
    <hyperlink ref="K98" r:id="rId200" display="Notices of Initiation &amp; Interim Measures\8139 Ramos Commodity Corporation (Notice of Initiation of Investigation and Interim Measures, December 18, 2025).pdf" xr:uid="{07434229-DF40-4E33-B738-27DD76876FBC}"/>
    <hyperlink ref="K94" r:id="rId201" display="Notices of Initiation &amp; Interim Measures\8132 Wholesale Equipment Co. (Notice of Initiation of Investigation and Interim Measures, April 17, 2025).pdf" xr:uid="{DCEEA55C-CAB3-49E3-A71A-01AE3BCB9879}"/>
    <hyperlink ref="M94" r:id="rId202" display="Notices of Determination\8132 Wholesale Equipment Co., dba WEC Manufacturing (Notice of Determination as to Evasion, November 13, 2025).pdf" xr:uid="{AB98CF47-E8C3-4619-875B-35A52BD23966}"/>
    <hyperlink ref="K99" r:id="rId203" display="Notices of Initiation &amp; Interim Measures\8143 Commercial Steel Products LLC and JOL Tubular, Inc. (Notice of Initiation of Investigation and Interim Measures, May 13, 2025).pdf" xr:uid="{E7AD1945-9F25-4E10-83EA-ED4834A7FC6D}"/>
    <hyperlink ref="L99" r:id="rId204" display="Covered Merchandise Referrals\8143 Covered Merchanidse Referral 12-2-2025 (PD).pdf" xr:uid="{421AC148-019C-44D6-B811-82BE7EFDA437}"/>
    <hyperlink ref="K41" r:id="rId205" display="Notices of Initiation &amp; Interim Measures\7624 Little Fireflies Int'l Co. (Notice of Inv. and Interim Measures, Dec. 9, 2021).pdf" xr:uid="{D9FD4800-ED59-4B75-90B2-2DF3F6FC1984}"/>
    <hyperlink ref="M41" r:id="rId206" display="Notices of Determination\7624 Little Fireflies Int'l Co. (Notice of Determination as to Evasion, July 8, 2022).pdf" xr:uid="{06C045AD-B708-430C-A035-9F4538ACB61E}"/>
    <hyperlink ref="K40" r:id="rId207" display="Notices of Initiation &amp; Interim Measures\7621 Little Fireflies Int'l Co. and Granite Plumbing Products LLC (Notice of Inv and Interim Measures, Dec. 9, 2021).pdf" xr:uid="{F0FF2DB4-957D-4B3C-8828-E531DA820ABD}"/>
    <hyperlink ref="M40" r:id="rId208" display="Notices of Determination\7621 Little Fireflies, Granite Plumbing, Phoenix Metal (Notice of Determination as to Evasion, Sept. 6, 2022).pdf" xr:uid="{256768E1-90AC-497E-A8AA-FE11426B5BCD}"/>
    <hyperlink ref="K37" r:id="rId209" display="Notices of Initiation &amp; Interim Measures\7614 ZL Center, USGS, Inc., et al. (Notice of Initiation of Inv. and Interim Measures - Consol. EAPA Case, Sept. 27, 2021).pdf" xr:uid="{417D89F3-B049-4C07-AB35-39702911DFCA}"/>
    <hyperlink ref="M37" r:id="rId210" display="Notices of Determination\7614 ZL Center,LLC et al. Notice of Determination as to Evasion, April 25, 2022.pdf" xr:uid="{E1FD807C-0A1A-4BCB-B902-963BCFB311A5}"/>
    <hyperlink ref="K42" r:id="rId211" display="Notices of Initiation &amp; Interim Measures\7647 Starille, Ltd. et al. (Initiation Notice of Inv. &amp; Interim Measures, Oct. 26, 2021).pdf" xr:uid="{B3DA700B-5A4A-4CA7-AE27-0A68EC2D2BE4}"/>
    <hyperlink ref="M42" r:id="rId212" display="Notices of Determination\7647 Starille, Ltd.; Nutrawave Co., Ltd.; and Newtrend USA Co., Ltd. (Notice of Final Determination as to Evasion, July 22, 2022).pdf" xr:uid="{B2F50784-4705-496F-BDE2-7269FA7398E6}"/>
    <hyperlink ref="K44" r:id="rId213" display="Notices of Initiation &amp; Interim Measures\7663 Starille, Ltd.; Nutrawave Co., Ltd.; and Newtrend USA Co., Ltd. (Notice of Initiation of Inv. &amp; Interim Measures, Oct. 26, 2021).pdf" xr:uid="{274CEEF9-15B4-4C5C-BA70-895CF7AA0EA2}"/>
    <hyperlink ref="M44" r:id="rId214" display="Notices of Determination\7663 Starille, Ltd., et al. (Notice of Determination as to Evasion, July 22, 2022).pdf" xr:uid="{9F5574C3-00E6-4A17-9233-7B22BF94740B}"/>
    <hyperlink ref="K38" r:id="rId215" display="Notices of Initiation &amp; Interim Measures\7618 CNC Associates N.Y., Inc. dba CNC Cabinetry (Notice of Initiation and Interim Measures, Sept, 9, 2021).pdf" xr:uid="{54257827-1CC7-4288-92A5-220825D51C13}"/>
    <hyperlink ref="M38" r:id="rId216" display="Notices of Determination\7618 CNC Associates N.Y., Inc. dba CNC Cabinetry (Notice of Determination as to Evasion, June 7, 2022).pdf" xr:uid="{93F1A55B-3B32-4112-97D6-3E2863C3867F}"/>
    <hyperlink ref="K36" r:id="rId217" display="Notices of Initiation &amp; Interim Measures\7607 Splendid Trading and Superior (Notice of Initiation of Invest. and Interim Measures &amp; Interim Meaures, July 27, 2021).pdf" xr:uid="{14BCFCF2-FCFA-4441-9868-FB418658C5F0}"/>
    <hyperlink ref="M36" r:id="rId218" display="Notices of Determination\7607 Splendid Trading and Superior (Notice of Determination as to Evasion, Feb. 23, 2022)).pdf" xr:uid="{83677DA8-AF46-4EE5-BF06-A367AD49E53D}"/>
    <hyperlink ref="K34" r:id="rId219" display="Notices of Initiation &amp; Interim Measures\7603 BPI Group Inc. dba U.S. Cabinet Depot (Notice of Initiation and Interim Measures, July 1, 2021).pdf" xr:uid="{DAC3797F-A1F4-4370-86A8-467896430EB0}"/>
    <hyperlink ref="M34" r:id="rId220" display="Notices of Determination\7603 BPI Group Inc. dba U.S. Cabinet Depot (Notice of Determination as t Evasion, Jan. 27, 2022).pdf" xr:uid="{C59607FC-1887-4760-91F3-08D4699B2C08}"/>
    <hyperlink ref="K35" r:id="rId221" display="Notices of Initiation &amp; Interim Measures\7604 Simpli Home, Ltd. (Notice of Initiation of Inv. &amp; Interim Measures, June 29, 2021).pdf" xr:uid="{E678367E-C93B-4754-B752-A50A250C3ABE}"/>
    <hyperlink ref="M35" r:id="rId222" display="Notices of Determination\7604 Simpli Home, Ltd. (Notice of Determinaton as to Evasion, Jan. 25, 2022).pdf" xr:uid="{007932D5-8E24-454F-8A6E-0B8E8DA41C3D}"/>
    <hyperlink ref="M31" r:id="rId223" display="Notices of Determination\7579 A&amp;A Pharmachem Inc. USA (Notice of Determination as to Evasion, Dec. 23, 2021).pdf" xr:uid="{FD923ACA-6914-42E0-89E9-A58BBAFE3179}"/>
    <hyperlink ref="K31" r:id="rId224" display="Notices of Initiation &amp; Interim Measures\7579 A&amp;A Pharmachem Inc. USA (Notice of Investigation and Interim Measures, May 27, 2021).pdf" xr:uid="{D337B80A-B4AA-47A7-A4C4-3F2A5D8EE3DF}"/>
    <hyperlink ref="K25" r:id="rId225" display="Notices of Initiation &amp; Interim Measures\7354 Gogo International, Inc. (Gogo) (Notice of Initiation of Invest. of Interim Measures, May 19, 2021).pdf" xr:uid="{7FDC5FD0-EEE9-409B-A198-2F99B8E35C65}"/>
    <hyperlink ref="L25" r:id="rId226" display="Covered Merchandise Referrals\7354 Covered Merchanidse Referral 11-26-2019.pdf" xr:uid="{9883F993-F278-4205-AE50-699B370D9083}"/>
    <hyperlink ref="M25" r:id="rId227" display="Notices of Determination\7354 Gogo International, Inc. (Gogo) (Notice of Determination as to Evasion, Dec. 15, 2021).pdf" xr:uid="{6A869C8A-3323-48CE-9DEF-DF42BC84CAAF}"/>
    <hyperlink ref="K33" r:id="rId228" display="Notices of Initiation &amp; Interim Measures\7586 Vivaldi Commercial LLC (dba Superior Granite and Marble by V) and Vivaldi Interiors LLC (Notice of Initiation of Inv. of Interim Measures, May 10, 2021).pdf" xr:uid="{EFF521A7-C022-4C5C-B2AA-49AB9F170A80}"/>
    <hyperlink ref="M33" r:id="rId229" display="Notices of Determination\7586 Vivaldi Commercial LLC (dba Superior Granite and Marble by V) and Vivaldi Interiors LLC (Notice of Determination as to Evasion, Dec. 6, 2021).pdf" xr:uid="{A1DBA119-5DBA-445B-A65B-94BBD2D8359C}"/>
    <hyperlink ref="K29" r:id="rId230" display="Notices of Initiation &amp; Interim Measures\7550 Kingtom Aluminio SRL (Notice of Initiation and Interim Measures, May 10, 2021).pdf" xr:uid="{B6C07608-AC52-4EDB-9FA3-8E8B714E5D3C}"/>
    <hyperlink ref="M29" r:id="rId231" display="Notices of Determination\7550 Kingtom Aluminio SRL (Notice of Determination of Evasion, Feb. 4, 2022).pdf" xr:uid="{C0764751-778F-499A-9653-3F371B00B03A}"/>
    <hyperlink ref="K32" r:id="rId232" display="Notices of Initiation &amp; Interim Measures\7583 CNC Associates (CNC Cabinetry) and or Direct Builders Supply Inc. (Notice of Initiation and Interim Measures, May 5, 2021).pdf" xr:uid="{458C0DEA-C5BF-4FEE-BF5C-A6E904FB5FC5}"/>
    <hyperlink ref="M32" r:id="rId233" display="Notices of Determination\7583 CNC Associates (CNC Cabinetry) and or Direct Builders Supply Inc. (Notice of Determination as to Evasion, Jan. 31, 2022).pdf" xr:uid="{A2B9888F-1004-45AD-B74F-9058648E4B21}"/>
    <hyperlink ref="K30" r:id="rId234" display="Notices of Initiation &amp; Interim Measures\7553 Pacific Building Material Inc., et al. (NOI and Interim Measures, Feb. 19, 2021).pdf" xr:uid="{C8CCC325-06B2-4CB9-A56B-154ADD13641A}"/>
    <hyperlink ref="M30" r:id="rId235" display="Notices of Determination\7553 Pacific Building Material Inc., et al. (Notice of Determination as to Evasion, Sept. 16, 2021).pdf" xr:uid="{A2A0CCDA-5745-4C15-9677-1350E8BE63C8}"/>
    <hyperlink ref="K28" r:id="rId236" display="Notices of Initiation &amp; Interim Measures\7523 Amlink Sourcing Inc. (Notice of Investigation and Interim Measures, Jan. 27, 2021).pdf" xr:uid="{33247052-9E73-456F-B518-12D7CAA0608B}"/>
    <hyperlink ref="M28" r:id="rId237" display="Notices of Determination\7523 Amlink Sourcing Inc. (Notice of Determination as to Evasion, Aug. 23, 2021).pdf" xr:uid="{1ED21A5B-0951-43A5-B0E3-3DE5998D18A9}"/>
    <hyperlink ref="K27" r:id="rId238" display="Notices of Initiation &amp; Interim Measures\7522 AAA Innovation LLC, et al. (Notice of Initiation and Interim Measures, March 1, 2021).pdf" xr:uid="{1283899D-54B6-4103-B125-2AFD7592A1D2}"/>
    <hyperlink ref="M27" r:id="rId239" display="Notices of Determination\7522 AAA Innovation LLC, et al. (Notice of Determination as to Evasion, Nov. 24, 2021).pdf" xr:uid="{E4B6F4D3-E109-4997-85B2-0B42FFF7884F}"/>
    <hyperlink ref="N28" r:id="rId240" display="Administrative Reviews\7523 Amlink Sourcing Inc. (Final Administrative Determination, Dec. 21, 2021).pdf" xr:uid="{64A3E313-3D7C-41BE-8A33-E3CF64FAF196}"/>
    <hyperlink ref="N40" r:id="rId241" display="Administrative Reviews\7621 Phoenix (Final Administrative Determination, Jan. 18, 2023).pdf" xr:uid="{7FCBE164-3465-4314-A077-DF74EB21D20F}"/>
    <hyperlink ref="N42" r:id="rId242" display="Administrative Reviews\7647 Starille, Ltd.; Nutrawave; Newtrend (Final Administrative Determination, Nov. 30, 2022).pdf" xr:uid="{B4966651-988C-4A70-AB8C-2DC3B704F9DA}"/>
    <hyperlink ref="N38" r:id="rId243" display="Administrative Reviews\7618 CNC Associates N.Y., Inc. (Final Administrative Determination, Oct. 21, 2022).pdf" xr:uid="{B5521A8C-C6B8-46CB-B945-0B70B7129020}"/>
    <hyperlink ref="N36" r:id="rId244" display="Administrative Reviews\7607 Vivaldi Commercial LLC (Final Administrative Determination, July 1, 2022).pdf" xr:uid="{DB137894-81DB-4CD7-9FC0-7191ABB2F8D3}"/>
    <hyperlink ref="N34" r:id="rId245" display="Administrative Reviews\7603 BGI Group, Inc. (Final Administrative Determination, June 6, 2022).pdf" xr:uid="{A129FB21-2208-441C-9C30-555CBB2B624A}"/>
    <hyperlink ref="N33" r:id="rId246" display="Administrative Reviews\7586 Vivaldi Commercial LLC (Final Administrative Determination, April 15, 2022).pdf" xr:uid="{1DD55725-7889-47C6-8652-F4A315909AF1}"/>
    <hyperlink ref="N29" r:id="rId247" display="Administrative Reviews\7550 Kingtom Aluminio SRL (Final Administrative Determination, June 29, 2022).pdf" xr:uid="{DF3A4103-3041-4F0D-BA91-F1FC729219AB}"/>
    <hyperlink ref="N32" r:id="rId248" display="Administrative Reviews\7583 CNC Associates N.Y., Inc. (Final Administrative Determination, May 31, 2022).pdf" xr:uid="{4C6FE315-CA95-45FE-AE7C-8D393950FD41}"/>
    <hyperlink ref="N30" r:id="rId249" display="Administrative Reviews\7553 Skyview Cabinet USA, Inc. (Final Administrative Determination, Jan. 28, 2022).pdf" xr:uid="{C4AB72AB-0414-4C5C-909B-D1CBCAC1DCEB}"/>
    <hyperlink ref="K111" r:id="rId250" display="\\sa-dc2022\Cases\Customs matters\EAPA Database\Notices of Initiation &amp; Interim Measures\15135 Eastern Trading NY Inc. (“Eastern Trading”) (Notice of Initiation of Inv. &amp; Interim Measures Oct. 11, 2016).pdf" xr:uid="{8E0397CE-4BB5-4C7C-98EF-62C7A06B923F}"/>
    <hyperlink ref="M111" r:id="rId251" display="\\sa-dc2022\Cases\Customs matters\EAPA Database\Notices of Determination\15135 Eastern Trading NY Inc. (“Eastern Trading”) (Notice of Determination, August 14, 2017).pdf" xr:uid="{A4449465-2D1F-47EA-8EC6-55228617657C}"/>
    <hyperlink ref="K113" r:id="rId252" display="\\sa-dc2022\Cases\Customs matters\EAPA Database\Notices of Initiation &amp; Interim Measures\7191 Brooklyn Knights Trading Inc. (“Brooklyn Knights”), et al (Notice of Initiation of Investigation and Interim Measures, May 12, 2017).pdf" xr:uid="{2453D4FF-46C7-464F-BDB0-BC2442E1D384}"/>
    <hyperlink ref="M113" r:id="rId253" display="\\sa-dc2022\Cases\Customs matters\EAPA Database\Notices of Determination\7191 Brooklyn Knights Trading Inc. (“Brooklyn Knights”), et al (Notice of Determination, Mar. 15, 2018).pdf" xr:uid="{3794C6FE-C137-4A3B-8CDB-B3187ABA35B5}"/>
    <hyperlink ref="K116" r:id="rId254" display="Notices of Initiation &amp; Interim Measures\7785 LDL Trading Company (Notice of Initiation of Investigation and Interim Measures, Feb. 1, 2023).pdf" xr:uid="{F306CA74-37AF-41AC-8937-411EBE424FD4}"/>
    <hyperlink ref="M116" r:id="rId255" display="Notices of Determination\7785 LDL Trading Company (Notice of Determination as to Evasion, Oct. 30, 2023).pdf" xr:uid="{1348A54F-AF63-4456-86EA-4C3E0F2FB964}"/>
    <hyperlink ref="K118" r:id="rId256" display="Notices of Initiation &amp; Interim Measures\7796 Exquis Inc., Lollicup USA Inc., and Sanster Corporation (Notice of Inv and Interim Measures, May 9, 2023).pdf" xr:uid="{0D7518E3-E7C1-4CC4-9EBA-2E29EF88C9D4}"/>
    <hyperlink ref="N118" r:id="rId257" display="Administrative Reviews\7796 Lollicup USA Inc. (Final Administrative Determination, June 11, 2024).pdf" xr:uid="{6EBE2738-FA13-4F69-B1B0-917A284F0963}"/>
  </hyperlinks>
  <pageMargins left="0.7" right="0.7" top="0.75" bottom="0.75" header="0.3" footer="0.3"/>
  <pageSetup orientation="portrait" r:id="rId258"/>
  <tableParts count="1">
    <tablePart r:id="rId259"/>
  </tableParts>
  <extLst>
    <ext xmlns:x14="http://schemas.microsoft.com/office/spreadsheetml/2009/9/main" uri="{CCE6A557-97BC-4b89-ADB6-D9C93CAAB3DF}">
      <x14:dataValidations xmlns:xm="http://schemas.microsoft.com/office/excel/2006/main" count="1">
        <x14:dataValidation type="list" allowBlank="1" showInputMessage="1" showErrorMessage="1" xr:uid="{60B60B59-49A2-4671-AC98-154CF6DCEFE6}">
          <x14:formula1>
            <xm:f>Sheet2!$E$6:$E$10</xm:f>
          </x14:formula1>
          <xm:sqref>F2:F26 F122:F285 E286:E1048576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vasionScheme xmlns="dcf4f70b-ba8f-430c-8ec6-858dbfb1dff2" xsi:nil="true"/>
    <Alleger xmlns="dcf4f70b-ba8f-430c-8ec6-858dbfb1dff2" xsi:nil="true"/>
    <Good xmlns="dcf4f70b-ba8f-430c-8ec6-858dbfb1dff2" xsi:nil="true"/>
    <CVDOrderNo_x002e_ xmlns="dcf4f70b-ba8f-430c-8ec6-858dbfb1dff2" xsi:nil="true"/>
    <CountryofTransshipment xmlns="dcf4f70b-ba8f-430c-8ec6-858dbfb1dff2" xsi:nil="true"/>
    <EvadingImporters xmlns="dcf4f70b-ba8f-430c-8ec6-858dbfb1dff2" xsi:nil="true"/>
    <ADOrderNo_x002e_ xmlns="dcf4f70b-ba8f-430c-8ec6-858dbfb1dff2" xsi:nil="true"/>
    <TaxCatchAll xmlns="cbbe6b16-20fa-4591-8488-813c97d2b5c4" xsi:nil="true"/>
    <TaxKeywordTaxHTField xmlns="cbbe6b16-20fa-4591-8488-813c97d2b5c4">
      <Terms xmlns="http://schemas.microsoft.com/office/infopath/2007/PartnerControls"/>
    </TaxKeywordTaxHTField>
    <Group xmlns="dcf4f70b-ba8f-430c-8ec6-858dbfb1dff2" xsi:nil="true"/>
    <ConsolidatedCaseNo_x002e_ xmlns="dcf4f70b-ba8f-430c-8ec6-858dbfb1dff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937C321857FF48BAD1D367F7B3F4CB" ma:contentTypeVersion="19" ma:contentTypeDescription="Create a new document." ma:contentTypeScope="" ma:versionID="2b4c9bd786fdc66541b6926dd975c31a">
  <xsd:schema xmlns:xsd="http://www.w3.org/2001/XMLSchema" xmlns:xs="http://www.w3.org/2001/XMLSchema" xmlns:p="http://schemas.microsoft.com/office/2006/metadata/properties" xmlns:ns2="dcf4f70b-ba8f-430c-8ec6-858dbfb1dff2" xmlns:ns3="cbbe6b16-20fa-4591-8488-813c97d2b5c4" targetNamespace="http://schemas.microsoft.com/office/2006/metadata/properties" ma:root="true" ma:fieldsID="abba082825023dd339f8b820c91581a6" ns2:_="" ns3:_="">
    <xsd:import namespace="dcf4f70b-ba8f-430c-8ec6-858dbfb1dff2"/>
    <xsd:import namespace="cbbe6b16-20fa-4591-8488-813c97d2b5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vasionScheme" minOccurs="0"/>
                <xsd:element ref="ns2:Alleger" minOccurs="0"/>
                <xsd:element ref="ns2:EvadingImporters" minOccurs="0"/>
                <xsd:element ref="ns2:CountryofTransshipment" minOccurs="0"/>
                <xsd:element ref="ns2:Good" minOccurs="0"/>
                <xsd:element ref="ns2:ADOrderNo_x002e_" minOccurs="0"/>
                <xsd:element ref="ns2:CVDOrderNo_x002e_" minOccurs="0"/>
                <xsd:element ref="ns3:TaxKeywordTaxHTField" minOccurs="0"/>
                <xsd:element ref="ns3:TaxCatchAll" minOccurs="0"/>
                <xsd:element ref="ns2:Group" minOccurs="0"/>
                <xsd:element ref="ns2:ConsolidatedCaseNo_x002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f4f70b-ba8f-430c-8ec6-858dbfb1df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vasionScheme" ma:index="11" nillable="true" ma:displayName="Evasion Scheme" ma:format="Dropdown" ma:internalName="EvasionScheme">
      <xsd:simpleType>
        <xsd:restriction base="dms:Text">
          <xsd:maxLength value="255"/>
        </xsd:restriction>
      </xsd:simpleType>
    </xsd:element>
    <xsd:element name="Alleger" ma:index="12" nillable="true" ma:displayName="Alleger" ma:format="Dropdown" ma:internalName="Alleger">
      <xsd:simpleType>
        <xsd:restriction base="dms:Text">
          <xsd:maxLength value="255"/>
        </xsd:restriction>
      </xsd:simpleType>
    </xsd:element>
    <xsd:element name="EvadingImporters" ma:index="13" nillable="true" ma:displayName="Evading Importers" ma:format="Dropdown" ma:internalName="EvadingImporters">
      <xsd:complexType>
        <xsd:complexContent>
          <xsd:extension base="dms:MultiChoiceFillIn">
            <xsd:sequence>
              <xsd:element name="Value" maxOccurs="unbounded" minOccurs="0" nillable="true">
                <xsd:simpleType>
                  <xsd:union memberTypes="dms:Text">
                    <xsd:simpleType>
                      <xsd:restriction base="dms:Choice">
                        <xsd:enumeration value="Choice 1"/>
                      </xsd:restriction>
                    </xsd:simpleType>
                  </xsd:union>
                </xsd:simpleType>
              </xsd:element>
            </xsd:sequence>
          </xsd:extension>
        </xsd:complexContent>
      </xsd:complexType>
    </xsd:element>
    <xsd:element name="CountryofTransshipment" ma:index="14" nillable="true" ma:displayName="Country of Transshipment" ma:format="Dropdown" ma:internalName="CountryofTransshipment">
      <xsd:simpleType>
        <xsd:restriction base="dms:Text">
          <xsd:maxLength value="255"/>
        </xsd:restriction>
      </xsd:simpleType>
    </xsd:element>
    <xsd:element name="Good" ma:index="15" nillable="true" ma:displayName="Good" ma:format="Dropdown" ma:internalName="Good">
      <xsd:simpleType>
        <xsd:restriction base="dms:Text">
          <xsd:maxLength value="255"/>
        </xsd:restriction>
      </xsd:simpleType>
    </xsd:element>
    <xsd:element name="ADOrderNo_x002e_" ma:index="16" nillable="true" ma:displayName="AD Order No." ma:format="Dropdown" ma:internalName="ADOrderNo_x002e_">
      <xsd:simpleType>
        <xsd:restriction base="dms:Text">
          <xsd:maxLength value="255"/>
        </xsd:restriction>
      </xsd:simpleType>
    </xsd:element>
    <xsd:element name="CVDOrderNo_x002e_" ma:index="17" nillable="true" ma:displayName="CVD Order No. " ma:format="Dropdown" ma:internalName="CVDOrderNo_x002e_">
      <xsd:simpleType>
        <xsd:restriction base="dms:Text">
          <xsd:maxLength value="255"/>
        </xsd:restriction>
      </xsd:simpleType>
    </xsd:element>
    <xsd:element name="Group" ma:index="21" nillable="true" ma:displayName="Group" ma:format="Dropdown" ma:internalName="Group">
      <xsd:simpleType>
        <xsd:restriction base="dms:Text">
          <xsd:maxLength value="255"/>
        </xsd:restriction>
      </xsd:simpleType>
    </xsd:element>
    <xsd:element name="ConsolidatedCaseNo_x002e_" ma:index="22" nillable="true" ma:displayName="Consolidated Case No." ma:format="Dropdown" ma:internalName="ConsolidatedCaseNo_x002e_">
      <xsd:complexType>
        <xsd:complexContent>
          <xsd:extension base="dms:MultiChoiceFillIn">
            <xsd:sequence>
              <xsd:element name="Value" maxOccurs="unbounded" minOccurs="0" nillable="true">
                <xsd:simpleType>
                  <xsd:union memberTypes="dms:Text">
                    <xsd:simpleType>
                      <xsd:restriction base="dms:Choice">
                        <xsd:enumeration value="Choice 1"/>
                      </xsd:restriction>
                    </xsd:simpleType>
                  </xsd:un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be6b16-20fa-4591-8488-813c97d2b5c4" elementFormDefault="qualified">
    <xsd:import namespace="http://schemas.microsoft.com/office/2006/documentManagement/types"/>
    <xsd:import namespace="http://schemas.microsoft.com/office/infopath/2007/PartnerControls"/>
    <xsd:element name="TaxKeywordTaxHTField" ma:index="19" nillable="true" ma:taxonomy="true" ma:internalName="TaxKeywordTaxHTField" ma:taxonomyFieldName="TaxKeyword" ma:displayName="Enterprise Keywords" ma:fieldId="{23f27201-bee3-471e-b2e7-b64fd8b7ca38}" ma:taxonomyMulti="true" ma:sspId="0c9480f2-cd5b-4b83-a41d-3e03c593a722" ma:termSetId="00000000-0000-0000-0000-000000000000" ma:anchorId="00000000-0000-0000-0000-000000000000" ma:open="true" ma:isKeyword="true">
      <xsd:complexType>
        <xsd:sequence>
          <xsd:element ref="pc:Terms" minOccurs="0" maxOccurs="1"/>
        </xsd:sequence>
      </xsd:complexType>
    </xsd:element>
    <xsd:element name="TaxCatchAll" ma:index="20" nillable="true" ma:displayName="Taxonomy Catch All Column" ma:hidden="true" ma:list="{9e56ecdd-7534-422c-bdee-f09c52c4ef12}" ma:internalName="TaxCatchAll" ma:showField="CatchAllData" ma:web="cbbe6b16-20fa-4591-8488-813c97d2b5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198BF8-0061-4CB3-AFC6-D0671DBEABD8}"/>
</file>

<file path=customXml/itemProps2.xml><?xml version="1.0" encoding="utf-8"?>
<ds:datastoreItem xmlns:ds="http://schemas.openxmlformats.org/officeDocument/2006/customXml" ds:itemID="{BD88F719-9928-460B-83EA-E17DF2EE4084}"/>
</file>

<file path=customXml/itemProps3.xml><?xml version="1.0" encoding="utf-8"?>
<ds:datastoreItem xmlns:ds="http://schemas.openxmlformats.org/officeDocument/2006/customXml" ds:itemID="{B241C5A7-8AE3-475A-8388-CF7710B026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Swenson</dc:creator>
  <cp:keywords/>
  <dc:description/>
  <cp:lastModifiedBy>Nicholas Birch</cp:lastModifiedBy>
  <cp:revision/>
  <dcterms:created xsi:type="dcterms:W3CDTF">2026-01-08T17:56:58Z</dcterms:created>
  <dcterms:modified xsi:type="dcterms:W3CDTF">2026-07-17T15:25:02Z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0x010100EE937C321857FF48BAD1D367F7B3F4CB</vt:lpwstr>
  </property>
  <property fmtid="{D5CDD505-2E9C-101B-9397-08002B2CF9AE}" pid="3" name="TaxKeyword">
    <vt:lpwstr/>
  </property>
</Properties>
</file>